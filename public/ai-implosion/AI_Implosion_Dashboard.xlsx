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Tracker" sheetId="2" state="visible" r:id="rId2"/>
    <sheet xmlns:r="http://schemas.openxmlformats.org/officeDocument/2006/relationships" name="History" sheetId="3" state="visible" r:id="rId3"/>
    <sheet xmlns:r="http://schemas.openxmlformats.org/officeDocument/2006/relationships" name="Chart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"/>
    <numFmt numFmtId="165" formatCode="dd-mmm-yyyy"/>
    <numFmt numFmtId="166" formatCode="0.0%"/>
    <numFmt numFmtId="167" formatCode="+#,##0;-#,##0;0"/>
    <numFmt numFmtId="168" formatCode="dd-mmm"/>
    <numFmt numFmtId="169" formatCode="dd-mmm-yy"/>
  </numFmts>
  <fonts count="19">
    <font>
      <name val="Calibri"/>
      <family val="2"/>
      <color theme="1"/>
      <sz val="11"/>
      <scheme val="minor"/>
    </font>
    <font>
      <name val="Arial"/>
      <b val="1"/>
      <color rgb="00EF4444"/>
    </font>
    <font>
      <name val="Arial"/>
      <i val="1"/>
      <color rgb="00475569"/>
      <sz val="9"/>
    </font>
    <font>
      <name val="Arial"/>
      <b val="1"/>
      <color rgb="00FFFFFF"/>
    </font>
    <font>
      <name val="Arial"/>
      <b val="1"/>
      <color rgb="00FFFFFF"/>
      <sz val="22"/>
    </font>
    <font>
      <name val="Arial"/>
      <i val="1"/>
      <color rgb="0064748B"/>
      <sz val="9"/>
    </font>
    <font>
      <name val="Arial"/>
      <color rgb="00334155"/>
      <sz val="11"/>
    </font>
    <font>
      <name val="Arial"/>
      <b val="1"/>
      <color rgb="0064748B"/>
      <sz val="9"/>
    </font>
    <font>
      <name val="Arial"/>
      <b val="1"/>
      <color rgb="001E293B"/>
      <sz val="18"/>
    </font>
    <font>
      <name val="Arial"/>
      <color rgb="0064748B"/>
      <sz val="9"/>
    </font>
    <font>
      <name val="Arial"/>
      <b val="1"/>
      <color rgb="001E293B"/>
      <sz val="13"/>
    </font>
    <font>
      <name val="Arial"/>
      <b val="1"/>
      <color rgb="001E293B"/>
      <sz val="11"/>
    </font>
    <font>
      <name val="Arial"/>
      <b val="1"/>
      <color rgb="00FFFFFF"/>
      <sz val="9"/>
    </font>
    <font>
      <name val="Arial"/>
      <sz val="10"/>
    </font>
    <font>
      <name val="Arial"/>
      <b val="1"/>
      <sz val="9"/>
    </font>
    <font>
      <name val="Arial"/>
      <b val="1"/>
      <color rgb="001E293B"/>
      <sz val="16"/>
    </font>
    <font>
      <name val="Arial"/>
      <b val="1"/>
    </font>
    <font>
      <name val="Arial"/>
    </font>
    <font>
      <name val="Arial"/>
      <b val="1"/>
      <color rgb="0016A34A"/>
    </font>
  </fonts>
  <fills count="5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DBEAFE"/>
        <bgColor rgb="00DBEAFE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4" fillId="2" borderId="0" applyAlignment="1" pivotButton="0" quotePrefix="0" xfId="0">
      <alignment vertical="center" indent="1"/>
    </xf>
    <xf numFmtId="0" fontId="5" fillId="0" borderId="0" pivotButton="0" quotePrefix="0" xfId="0"/>
    <xf numFmtId="0" fontId="6" fillId="0" borderId="0" pivotButton="0" quotePrefix="0" xfId="0"/>
    <xf numFmtId="0" fontId="7" fillId="4" borderId="0" applyAlignment="1" pivotButton="0" quotePrefix="0" xfId="0">
      <alignment horizontal="center" vertical="center"/>
    </xf>
    <xf numFmtId="0" fontId="0" fillId="4" borderId="0" pivotButton="0" quotePrefix="0" xfId="0"/>
    <xf numFmtId="1" fontId="8" fillId="4" borderId="0" applyAlignment="1" pivotButton="0" quotePrefix="0" xfId="0">
      <alignment horizontal="center" vertical="center"/>
    </xf>
    <xf numFmtId="0" fontId="8" fillId="4" borderId="0" applyAlignment="1" pivotButton="0" quotePrefix="0" xfId="0">
      <alignment horizontal="center" vertical="center"/>
    </xf>
    <xf numFmtId="0" fontId="10" fillId="4" borderId="0" applyAlignment="1" pivotButton="0" quotePrefix="0" xfId="0">
      <alignment horizontal="center" vertical="center"/>
    </xf>
    <xf numFmtId="0" fontId="9" fillId="4" borderId="0" applyAlignment="1" pivotButton="0" quotePrefix="0" xfId="0">
      <alignment horizontal="center" vertical="center"/>
    </xf>
    <xf numFmtId="0" fontId="11" fillId="0" borderId="0" pivotButton="0" quotePrefix="0" xfId="0"/>
    <xf numFmtId="0" fontId="12" fillId="2" borderId="1" applyAlignment="1" pivotButton="0" quotePrefix="0" xfId="0">
      <alignment horizontal="center" vertical="center" wrapText="1"/>
    </xf>
    <xf numFmtId="49" fontId="13" fillId="0" borderId="1" applyAlignment="1" pivotButton="0" quotePrefix="0" xfId="0">
      <alignment horizontal="left"/>
    </xf>
    <xf numFmtId="9" fontId="13" fillId="3" borderId="1" applyAlignment="1" applyProtection="1" pivotButton="0" quotePrefix="0" xfId="0">
      <alignment horizontal="center"/>
      <protection locked="0" hidden="0"/>
    </xf>
    <xf numFmtId="4" fontId="13" fillId="0" borderId="1" applyAlignment="1" pivotButton="0" quotePrefix="0" xfId="0">
      <alignment horizontal="center"/>
    </xf>
    <xf numFmtId="166" fontId="13" fillId="0" borderId="1" applyAlignment="1" pivotButton="0" quotePrefix="0" xfId="0">
      <alignment horizontal="center"/>
    </xf>
    <xf numFmtId="9" fontId="13" fillId="0" borderId="1" applyAlignment="1" pivotButton="0" quotePrefix="0" xfId="0">
      <alignment horizontal="center"/>
    </xf>
    <xf numFmtId="49" fontId="13" fillId="0" borderId="1" applyAlignment="1" pivotButton="0" quotePrefix="0" xfId="0">
      <alignment horizontal="center"/>
    </xf>
    <xf numFmtId="3" fontId="13" fillId="0" borderId="1" applyAlignment="1" pivotButton="0" quotePrefix="0" xfId="0">
      <alignment horizontal="center"/>
    </xf>
    <xf numFmtId="167" fontId="13" fillId="0" borderId="1" applyAlignment="1" pivotButton="0" quotePrefix="0" xfId="0">
      <alignment horizontal="center"/>
    </xf>
    <xf numFmtId="3" fontId="13" fillId="3" borderId="1" applyAlignment="1" applyProtection="1" pivotButton="0" quotePrefix="0" xfId="0">
      <alignment horizontal="center"/>
      <protection locked="0" hidden="0"/>
    </xf>
    <xf numFmtId="0" fontId="14" fillId="0" borderId="0" pivotButton="0" quotePrefix="0" xfId="0"/>
    <xf numFmtId="9" fontId="14" fillId="0" borderId="0" pivotButton="0" quotePrefix="0" xfId="0"/>
    <xf numFmtId="0" fontId="2" fillId="0" borderId="0" applyAlignment="1" pivotButton="0" quotePrefix="0" xfId="0">
      <alignment vertical="top" wrapText="1"/>
    </xf>
    <xf numFmtId="0" fontId="5" fillId="0" borderId="0" applyAlignment="1" pivotButton="0" quotePrefix="0" xfId="0">
      <alignment horizontal="center"/>
    </xf>
    <xf numFmtId="0" fontId="15" fillId="0" borderId="0" pivotButton="0" quotePrefix="0" xfId="0"/>
    <xf numFmtId="0" fontId="16" fillId="0" borderId="0" pivotButton="0" quotePrefix="0" xfId="0"/>
    <xf numFmtId="165" fontId="17" fillId="0" borderId="0" pivotButton="0" quotePrefix="0" xfId="0"/>
    <xf numFmtId="1" fontId="17" fillId="0" borderId="0" pivotButton="0" quotePrefix="0" xfId="0"/>
    <xf numFmtId="49" fontId="17" fillId="0" borderId="0" pivotButton="0" quotePrefix="0" xfId="0"/>
    <xf numFmtId="0" fontId="3" fillId="2" borderId="1" pivotButton="0" quotePrefix="0" xfId="0"/>
    <xf numFmtId="0" fontId="17" fillId="0" borderId="1" pivotButton="0" quotePrefix="0" xfId="0"/>
    <xf numFmtId="165" fontId="17" fillId="0" borderId="1" pivotButton="0" quotePrefix="0" xfId="0"/>
    <xf numFmtId="0" fontId="1" fillId="0" borderId="0" pivotButton="0" quotePrefix="0" xfId="0"/>
    <xf numFmtId="165" fontId="1" fillId="0" borderId="0" pivotButton="0" quotePrefix="0" xfId="0"/>
    <xf numFmtId="165" fontId="17" fillId="3" borderId="1" applyProtection="1" pivotButton="0" quotePrefix="0" xfId="0">
      <protection locked="0" hidden="0"/>
    </xf>
    <xf numFmtId="0" fontId="18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165" fontId="0" fillId="0" borderId="0" pivotButton="0" quotePrefix="0" xfId="0"/>
    <xf numFmtId="4" fontId="0" fillId="3" borderId="0" pivotButton="0" quotePrefix="0" xfId="0"/>
    <xf numFmtId="3" fontId="0" fillId="3" borderId="0" pivotButton="0" quotePrefix="0" xfId="0"/>
    <xf numFmtId="9" fontId="0" fillId="0" borderId="0" pivotButton="0" quotePrefix="0" xfId="0"/>
    <xf numFmtId="1" fontId="0" fillId="0" borderId="0" pivotButton="0" quotePrefix="0" xfId="0"/>
    <xf numFmtId="168" fontId="0" fillId="0" borderId="0" pivotButton="0" quotePrefix="0" xfId="0"/>
    <xf numFmtId="169" fontId="0" fillId="0" borderId="0" pivotButton="0" quotePrefix="0" xfId="0"/>
  </cellXfs>
  <cellStyles count="1">
    <cellStyle name="Normal" xfId="0" builtinId="0" hidden="0"/>
  </cellStyles>
  <dxfs count="8">
    <dxf>
      <font>
        <name val="Arial"/>
        <b val="1"/>
        <color rgb="00EF4444"/>
        <sz val="18"/>
      </font>
    </dxf>
    <dxf>
      <font>
        <name val="Arial"/>
        <b val="1"/>
        <color rgb="00EA580C"/>
        <sz val="18"/>
      </font>
    </dxf>
    <dxf>
      <font>
        <name val="Arial"/>
        <b val="1"/>
        <color rgb="00D97706"/>
        <sz val="18"/>
      </font>
    </dxf>
    <dxf>
      <font>
        <name val="Arial"/>
        <b val="1"/>
        <color rgb="0016A34A"/>
        <sz val="18"/>
      </font>
    </dxf>
    <dxf>
      <font>
        <name val="Arial"/>
        <b val="1"/>
        <color rgb="00FFFFFF"/>
      </font>
      <fill>
        <patternFill patternType="solid">
          <fgColor rgb="00EF4444"/>
          <bgColor rgb="00EF4444"/>
        </patternFill>
      </fill>
    </dxf>
    <dxf>
      <fill>
        <patternFill patternType="solid">
          <fgColor rgb="00FED7AA"/>
          <bgColor rgb="00FED7AA"/>
        </patternFill>
      </fill>
    </dxf>
    <dxf>
      <fill>
        <patternFill patternType="solid">
          <fgColor rgb="00FEF9C3"/>
          <bgColor rgb="00FEF9C3"/>
        </patternFill>
      </fill>
    </dxf>
    <dxf>
      <fill>
        <patternFill patternType="solid">
          <fgColor rgb="00DCFCE7"/>
          <bgColor rgb="00DCFC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Factor stress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'ChartData'!B1</f>
            </strRef>
          </tx>
          <spPr>
            <a:solidFill xmlns:a="http://schemas.openxmlformats.org/drawingml/2006/main">
              <a:srgbClr val="6366F1"/>
            </a:solidFill>
            <a:ln xmlns:a="http://schemas.openxmlformats.org/drawingml/2006/main">
              <a:prstDash val="solid"/>
            </a:ln>
          </spPr>
          <cat>
            <numRef>
              <f>'ChartData'!$A$2:$A$9</f>
            </numRef>
          </cat>
          <val>
            <numRef>
              <f>'ChartData'!$B$2:$B$9</f>
            </numRef>
          </val>
        </ser>
        <dLbls>
          <numFmt formatCode="0%"/>
          <showVal val="1"/>
        </dLbls>
        <gapWidth val="15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"/>
          <min val="0"/>
        </scaling>
        <delete val="0"/>
        <axPos val="l"/>
        <numFmt formatCode="0%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Stress Score (0–100)</a:t>
            </a:r>
          </a:p>
        </rich>
      </tx>
    </title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EF4444"/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E2E8F0"/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</dPt>
          <cat>
            <numRef>
              <f>'ChartData'!$D$2:$D$4</f>
            </numRef>
          </cat>
          <val>
            <numRef>
              <f>'ChartData'!$E$2:$E$4</f>
            </numRef>
          </val>
        </ser>
        <firstSliceAng val="270"/>
        <holeSize val="60"/>
      </doughnutChart>
    </plotArea>
    <plotVisOnly val="1"/>
    <dispBlanksAs val="gap"/>
  </chart>
</chartSpace>
</file>

<file path=xl/charts/chart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Pillars &amp; Score — last 52 weeks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'ChartData'!K1</f>
            </strRef>
          </tx>
          <spPr>
            <a:ln xmlns:a="http://schemas.openxmlformats.org/drawingml/2006/main" w="15000">
              <a:solidFill>
                <a:srgbClr val="6366F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'ChartData'!$J$2:$J$263</f>
            </numRef>
          </cat>
          <val>
            <numRef>
              <f>'ChartData'!$K$2:$K$263</f>
            </numRef>
          </val>
          <smooth val="0"/>
        </ser>
        <ser>
          <idx val="1"/>
          <order val="1"/>
          <tx>
            <strRef>
              <f>'ChartData'!L1</f>
            </strRef>
          </tx>
          <spPr>
            <a:ln xmlns:a="http://schemas.openxmlformats.org/drawingml/2006/main" w="15000">
              <a:solidFill>
                <a:srgbClr val="F59E0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'ChartData'!$J$2:$J$263</f>
            </numRef>
          </cat>
          <val>
            <numRef>
              <f>'ChartData'!$L$2:$L$263</f>
            </numRef>
          </val>
          <smooth val="0"/>
        </ser>
        <ser>
          <idx val="2"/>
          <order val="2"/>
          <tx>
            <strRef>
              <f>'ChartData'!M1</f>
            </strRef>
          </tx>
          <spPr>
            <a:ln xmlns:a="http://schemas.openxmlformats.org/drawingml/2006/main" w="15000">
              <a:solidFill>
                <a:srgbClr val="14B8A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'ChartData'!$J$2:$J$263</f>
            </numRef>
          </cat>
          <val>
            <numRef>
              <f>'ChartData'!$M$2:$M$263</f>
            </numRef>
          </val>
          <smooth val="0"/>
        </ser>
        <ser>
          <idx val="3"/>
          <order val="3"/>
          <tx>
            <strRef>
              <f>'ChartData'!N1</f>
            </strRef>
          </tx>
          <spPr>
            <a:ln xmlns:a="http://schemas.openxmlformats.org/drawingml/2006/main" w="28000">
              <a:solidFill>
                <a:srgbClr val="EF444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'ChartData'!$J$2:$J$263</f>
            </numRef>
          </cat>
          <val>
            <numRef>
              <f>'ChartData'!$N$2:$N$263</f>
            </numRef>
          </val>
          <smooth val="0"/>
        </ser>
        <axId val="10"/>
        <axId val="100"/>
      </lineChart>
      <catAx>
        <axId val="10"/>
        <scaling>
          <orientation val="maxMin"/>
        </scaling>
        <delete val="0"/>
        <axPos val="l"/>
        <numFmt formatCode="mmm-yy" sourceLinked="0"/>
        <majorTickMark val="none"/>
        <minorTickMark val="none"/>
        <crossAx val="100"/>
        <lblOffset val="100"/>
        <tickLblSkip val="21"/>
        <tickMarkSkip val="21"/>
      </catAx>
      <valAx>
        <axId val="100"/>
        <scaling>
          <orientation val="minMax"/>
          <max val="100"/>
          <min val="0"/>
        </scaling>
        <delete val="0"/>
        <axPos val="l"/>
        <majorGridlines/>
        <majorTickMark val="none"/>
        <minorTickMark val="none"/>
        <crossAx val="10"/>
        <crosses val="max"/>
        <majorUnit val="25"/>
      </valAx>
    </plotArea>
    <legend>
      <legendPos val="b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Weekly high score — 26 weeks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'ChartData'!H1</f>
            </strRef>
          </tx>
          <spPr>
            <a:solidFill xmlns:a="http://schemas.openxmlformats.org/drawingml/2006/main">
              <a:srgbClr val="D97706"/>
            </a:solidFill>
            <a:ln xmlns:a="http://schemas.openxmlformats.org/drawingml/2006/main">
              <a:prstDash val="solid"/>
            </a:ln>
          </spPr>
          <cat>
            <numRef>
              <f>'ChartData'!$G$2:$G$27</f>
            </numRef>
          </cat>
          <val>
            <numRef>
              <f>'ChartData'!$H$2:$H$27</f>
            </numRef>
          </val>
        </ser>
        <gapWidth val="150"/>
        <axId val="10"/>
        <axId val="100"/>
      </barChart>
      <catAx>
        <axId val="10"/>
        <scaling>
          <orientation val="maxMin"/>
        </scaling>
        <delete val="0"/>
        <axPos val="l"/>
        <numFmt formatCode="dd-mmm" sourceLinked="0"/>
        <majorTickMark val="none"/>
        <minorTickMark val="none"/>
        <crossAx val="100"/>
        <lblOffset val="100"/>
      </catAx>
      <valAx>
        <axId val="100"/>
        <scaling>
          <orientation val="minMax"/>
          <max val="100"/>
          <min val="0"/>
        </scaling>
        <delete val="0"/>
        <axPos val="l"/>
        <majorGridlines/>
        <majorTickMark val="none"/>
        <minorTickMark val="none"/>
        <crossAx val="10"/>
        <crosses val="max"/>
        <majorUnit val="25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1</col>
      <colOff>0</colOff>
      <row>24</row>
      <rowOff>0</rowOff>
    </from>
    <ext cx="46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24</row>
      <rowOff>0</rowOff>
    </from>
    <ext cx="396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</col>
      <colOff>0</colOff>
      <row>41</row>
      <rowOff>0</rowOff>
    </from>
    <ext cx="8640000" cy="306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</col>
      <colOff>0</colOff>
      <row>59</row>
      <rowOff>0</rowOff>
    </from>
    <ext cx="8640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History" displayName="tblHistory" ref="A3:AC526" headerRowCount="1">
  <autoFilter ref="A3:AC526"/>
  <tableColumns count="29">
    <tableColumn id="1" name="Date"/>
    <tableColumn id="2" name="NDX"/>
    <tableColumn id="3" name="SOX"/>
    <tableColumn id="4" name="AIQ"/>
    <tableColumn id="5" name="ORCL"/>
    <tableColumn id="6" name="CRWV"/>
    <tableColumn id="7" name="BIZD"/>
    <tableColumn id="8" name="BKLN"/>
    <tableColumn id="9" name="HY"/>
    <tableColumn id="10" name="NDX S">
      <calculatedColumnFormula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calculatedColumnFormula>
    </tableColumn>
    <tableColumn id="11" name="SOX S">
      <calculatedColumnFormula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calculatedColumnFormula>
    </tableColumn>
    <tableColumn id="12" name="AIQ S">
      <calculatedColumnFormula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calculatedColumnFormula>
    </tableColumn>
    <tableColumn id="13" name="ORCL S">
      <calculatedColumnFormula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calculatedColumnFormula>
    </tableColumn>
    <tableColumn id="14" name="CRWV S">
      <calculatedColumnFormula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calculatedColumnFormula>
    </tableColumn>
    <tableColumn id="15" name="BIZD S">
      <calculatedColumnFormula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calculatedColumnFormula>
    </tableColumn>
    <tableColumn id="16" name="BKLN S">
      <calculatedColumnFormula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calculatedColumnFormula>
    </tableColumn>
    <tableColumn id="17" name="HY S">
      <calculatedColumnFormula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calculatedColumnFormula>
    </tableColumn>
    <tableColumn id="18" name="EquityP">
      <calculatedColumnFormula>(Dashboard!$C$13*tblHistory[[#This Row],[NDX S]]+Dashboard!$C$14*tblHistory[[#This Row],[SOX S]]+Dashboard!$C$15*tblHistory[[#This Row],[AIQ S]])/SUM(Dashboard!$C$13:$C$15)*100</calculatedColumnFormula>
    </tableColumn>
    <tableColumn id="19" name="FinP">
      <calculatedColumnFormula>(Dashboard!$C$16*tblHistory[[#This Row],[ORCL S]]+Dashboard!$C$17*tblHistory[[#This Row],[CRWV S]])/SUM(Dashboard!$C$16:$C$17)*100</calculatedColumnFormula>
    </tableColumn>
    <tableColumn id="20" name="CreditP">
      <calculatedColumnFormula>(Dashboard!$C$18*tblHistory[[#This Row],[BIZD S]]+Dashboard!$C$19*tblHistory[[#This Row],[BKLN S]]+Dashboard!$C$20*tblHistory[[#This Row],[HY S]])/SUM(Dashboard!$C$18:$C$20)*100</calculatedColumnFormula>
    </tableColumn>
    <tableColumn id="21" name="Score">
      <calculatedColumnFormula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calculatedColumnFormula>
    </tableColumn>
    <tableColumn id="22" name="L1">
      <calculatedColumnFormula>IFERROR(--(tblHistory[[#This Row],[Score]]&gt;=50),0)</calculatedColumnFormula>
    </tableColumn>
    <tableColumn id="23" name="L2">
      <calculatedColumnFormula>IFERROR(--AND(tblHistory[[#This Row],[Score]]&gt;=60,tblHistory[[#This Row],[BIZD S]]&gt;=0.8,tblHistory[[#This Row],[BKLN S]]&gt;=0.5),0)</calculatedColumnFormula>
    </tableColumn>
    <tableColumn id="24" name="L3">
      <calculatedColumnFormula>IFERROR(--AND(tblHistory[[#This Row],[Score]]&gt;=70,tblHistory[[#This Row],[SOX S]]&gt;=0.83,tblHistory[[#This Row],[AIQ S]]&gt;=0.8),0)</calculatedColumnFormula>
    </tableColumn>
    <tableColumn id="25" name="L4">
      <calculatedColumnFormula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calculatedColumnFormula>
    </tableColumn>
    <tableColumn id="26" name="L1S">
      <calculatedColumnFormula>IFERROR(--(COUNTIFS(tblHistory[Date],"&gt;="&amp;tblHistory[[#This Row],[Date]],tblHistory[Date],"&lt;="&amp;_xlfn.AGGREGATE(15,6,tblHistory[Date]/(tblHistory[Date]&gt;=tblHistory[[#This Row],[Date]]),5),tblHistory[L1],1)=5),0)</calculatedColumnFormula>
    </tableColumn>
    <tableColumn id="27" name="L2S">
      <calculatedColumnFormula>IFERROR(--(COUNTIFS(tblHistory[Date],"&gt;="&amp;tblHistory[[#This Row],[Date]],tblHistory[Date],"&lt;="&amp;_xlfn.AGGREGATE(15,6,tblHistory[Date]/(tblHistory[Date]&gt;=tblHistory[[#This Row],[Date]]),5),tblHistory[L2],1)=5),0)</calculatedColumnFormula>
    </tableColumn>
    <tableColumn id="28" name="L3S">
      <calculatedColumnFormula>IFERROR(--(COUNTIFS(tblHistory[Date],"&gt;="&amp;tblHistory[[#This Row],[Date]],tblHistory[Date],"&lt;="&amp;_xlfn.AGGREGATE(15,6,tblHistory[Date]/(tblHistory[Date]&gt;=tblHistory[[#This Row],[Date]]),5),tblHistory[L3],1)=5),0)</calculatedColumnFormula>
    </tableColumn>
    <tableColumn id="29" name="L4S">
      <calculatedColumnFormula>IFERROR(--(COUNTIFS(tblHistory[Date],"&gt;="&amp;tblHistory[[#This Row],[Date]],tblHistory[Date],"&lt;="&amp;_xlfn.AGGREGATE(15,6,tblHistory[Date]/(tblHistory[Date]&gt;=tblHistory[[#This Row],[Date]]),5),tblHistory[L4],1)=5),0)</calculatedColumnFormula>
    </tableColumn>
  </tableColumns>
  <tableStyleInfo name="TableStyleLight1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K77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6" customWidth="1" min="2" max="2"/>
    <col width="10" customWidth="1" min="3" max="3"/>
    <col width="13" customWidth="1" min="4" max="4"/>
    <col width="13" customWidth="1" min="5" max="5"/>
    <col width="15" customWidth="1" min="6" max="6"/>
    <col width="10" customWidth="1" min="7" max="7"/>
    <col width="10" customWidth="1" min="8" max="8"/>
    <col width="16" customWidth="1" min="9" max="9"/>
    <col width="14" customWidth="1" min="10" max="10"/>
    <col width="13" customWidth="1" min="11" max="11"/>
  </cols>
  <sheetData>
    <row r="2" ht="36" customHeight="1">
      <c r="B2" s="1" t="inlineStr">
        <is>
          <t>AI IMPLOSION DASHBOARD</t>
        </is>
      </c>
    </row>
    <row r="3">
      <c r="B3" s="2" t="inlineStr">
        <is>
          <t>Built by KK Reddy</t>
        </is>
      </c>
    </row>
    <row r="4">
      <c r="B4" s="3">
        <f>"7 AI-cycle drawdowns + HY spread | Data as of "&amp;TEXT(MAX(tblHistory[Date]),"dd-mmm-yyyy")</f>
        <v/>
      </c>
    </row>
    <row r="7">
      <c r="B7" s="4" t="inlineStr">
        <is>
          <t>STRESS SCORE</t>
        </is>
      </c>
      <c r="C7" s="5" t="n"/>
      <c r="D7" s="4" t="inlineStr">
        <is>
          <t>STATUS</t>
        </is>
      </c>
      <c r="E7" s="5" t="n"/>
      <c r="F7" s="4" t="inlineStr">
        <is>
          <t>TRIGGERS</t>
        </is>
      </c>
      <c r="G7" s="5" t="n"/>
      <c r="H7" s="4" t="inlineStr">
        <is>
          <t>CURRENT LEVEL</t>
        </is>
      </c>
      <c r="I7" s="5" t="n"/>
      <c r="J7" s="4" t="inlineStr">
        <is>
          <t>BET COUNTDOWN</t>
        </is>
      </c>
      <c r="K7" s="5" t="n"/>
    </row>
    <row r="8" ht="30" customHeight="1">
      <c r="B8" s="6">
        <f>Tracker!C5</f>
        <v/>
      </c>
      <c r="C8" s="5" t="n"/>
      <c r="D8" s="7">
        <f>Tracker!C7</f>
        <v/>
      </c>
      <c r="E8" s="5" t="n"/>
      <c r="F8" s="7">
        <f>Tracker!C6</f>
        <v/>
      </c>
      <c r="G8" s="5" t="n"/>
      <c r="H8" s="7">
        <f>Tracker!C17</f>
        <v/>
      </c>
      <c r="I8" s="5" t="n"/>
      <c r="J8" s="8">
        <f>"KK "&amp;Tracker!D22&amp;"d | SJ "&amp;Tracker!D23&amp;"d"</f>
        <v/>
      </c>
      <c r="K8" s="5" t="n"/>
    </row>
    <row r="9">
      <c r="B9" s="9">
        <f>"out of 100"</f>
        <v/>
      </c>
      <c r="C9" s="5" t="n"/>
      <c r="D9" s="9">
        <f>"Score band"</f>
        <v/>
      </c>
      <c r="E9" s="5" t="n"/>
      <c r="F9" s="9">
        <f>"factors at stress 100%"</f>
        <v/>
      </c>
      <c r="G9" s="5" t="n"/>
      <c r="H9" s="9">
        <f>"5 straight days rule"</f>
        <v/>
      </c>
      <c r="I9" s="5" t="n"/>
      <c r="J9" s="9">
        <f>"Winner: "&amp;Tracker!C25</f>
        <v/>
      </c>
      <c r="K9" s="5" t="n"/>
    </row>
    <row r="11">
      <c r="B11" s="10" t="inlineStr">
        <is>
          <t>FACTOR DETAIL</t>
        </is>
      </c>
    </row>
    <row r="12" ht="30" customHeight="1">
      <c r="B12" s="11" t="inlineStr">
        <is>
          <t>Metric</t>
        </is>
      </c>
      <c r="C12" s="11" t="inlineStr">
        <is>
          <t>Weight</t>
        </is>
      </c>
      <c r="D12" s="11" t="inlineStr">
        <is>
          <t>52W High (HY: 52W Low)</t>
        </is>
      </c>
      <c r="E12" s="11" t="inlineStr">
        <is>
          <t>Current</t>
        </is>
      </c>
      <c r="F12" s="11" t="inlineStr">
        <is>
          <t>Drawdown (HY: +bp vs low)</t>
        </is>
      </c>
      <c r="G12" s="11" t="inlineStr">
        <is>
          <t>Calm</t>
        </is>
      </c>
      <c r="H12" s="11" t="inlineStr">
        <is>
          <t>Trigger</t>
        </is>
      </c>
      <c r="I12" s="11" t="inlineStr">
        <is>
          <t>Trigger price (HY: band)</t>
        </is>
      </c>
      <c r="J12" s="11" t="inlineStr">
        <is>
          <t>Stress</t>
        </is>
      </c>
      <c r="K12" s="11" t="inlineStr">
        <is>
          <t>Status</t>
        </is>
      </c>
    </row>
    <row r="13">
      <c r="B13" s="12" t="inlineStr">
        <is>
          <t>Nasdaq-100 (NDX)</t>
        </is>
      </c>
      <c r="C13" s="13" t="n">
        <v>0.18</v>
      </c>
      <c r="D13" s="14">
        <f>_xlfn.MAXIFS(tblHistory[NDX],tblHistory[Date],"&lt;="&amp;MAX(tblHistory[Date]),tblHistory[Date],"&gt;="&amp;MAX(tblHistory[Date])-365)</f>
        <v/>
      </c>
      <c r="E13" s="14">
        <f>SUMIFS(tblHistory[NDX],tblHistory[Date],_xlfn.MAXIFS(tblHistory[Date],tblHistory[NDX],"&lt;&gt;"))</f>
        <v/>
      </c>
      <c r="F13" s="15">
        <f>E13/D13-1</f>
        <v/>
      </c>
      <c r="G13" s="13" t="n">
        <v>-0.05</v>
      </c>
      <c r="H13" s="13" t="n">
        <v>-0.25</v>
      </c>
      <c r="I13" s="14">
        <f>D13*(1+H13)</f>
        <v/>
      </c>
      <c r="J13" s="16">
        <f>MIN(1,MAX(0,(F13-G13)/(H13-G13)))</f>
        <v/>
      </c>
      <c r="K13" s="17">
        <f>IF(J13=1,"TRIGGERED",IF(J13&gt;=0.5,"WARNING",IF(J13&gt;0,"WATCH","CALM")))</f>
        <v/>
      </c>
    </row>
    <row r="14">
      <c r="B14" s="12" t="inlineStr">
        <is>
          <t>Semis (SOX)</t>
        </is>
      </c>
      <c r="C14" s="13" t="n">
        <v>0.18</v>
      </c>
      <c r="D14" s="14">
        <f>_xlfn.MAXIFS(tblHistory[SOX],tblHistory[Date],"&lt;="&amp;MAX(tblHistory[Date]),tblHistory[Date],"&gt;="&amp;MAX(tblHistory[Date])-365)</f>
        <v/>
      </c>
      <c r="E14" s="14">
        <f>SUMIFS(tblHistory[SOX],tblHistory[Date],_xlfn.MAXIFS(tblHistory[Date],tblHistory[SOX],"&lt;&gt;"))</f>
        <v/>
      </c>
      <c r="F14" s="15">
        <f>E14/D14-1</f>
        <v/>
      </c>
      <c r="G14" s="13" t="n">
        <v>-0.1</v>
      </c>
      <c r="H14" s="13" t="n">
        <v>-0.4</v>
      </c>
      <c r="I14" s="14">
        <f>D14*(1+H14)</f>
        <v/>
      </c>
      <c r="J14" s="16">
        <f>MIN(1,MAX(0,(F14-G14)/(H14-G14)))</f>
        <v/>
      </c>
      <c r="K14" s="17">
        <f>IF(J14=1,"TRIGGERED",IF(J14&gt;=0.5,"WARNING",IF(J14&gt;0,"WATCH","CALM")))</f>
        <v/>
      </c>
    </row>
    <row r="15">
      <c r="B15" s="12" t="inlineStr">
        <is>
          <t>AI ETF (AIQ)</t>
        </is>
      </c>
      <c r="C15" s="13" t="n">
        <v>0.09</v>
      </c>
      <c r="D15" s="14">
        <f>_xlfn.MAXIFS(tblHistory[AIQ],tblHistory[Date],"&lt;="&amp;MAX(tblHistory[Date]),tblHistory[Date],"&gt;="&amp;MAX(tblHistory[Date])-365)</f>
        <v/>
      </c>
      <c r="E15" s="14">
        <f>SUMIFS(tblHistory[AIQ],tblHistory[Date],_xlfn.MAXIFS(tblHistory[Date],tblHistory[AIQ],"&lt;&gt;"))</f>
        <v/>
      </c>
      <c r="F15" s="15">
        <f>E15/D15-1</f>
        <v/>
      </c>
      <c r="G15" s="13" t="n">
        <v>-0.05</v>
      </c>
      <c r="H15" s="13" t="n">
        <v>-0.3</v>
      </c>
      <c r="I15" s="14">
        <f>D15*(1+H15)</f>
        <v/>
      </c>
      <c r="J15" s="16">
        <f>MIN(1,MAX(0,(F15-G15)/(H15-G15)))</f>
        <v/>
      </c>
      <c r="K15" s="17">
        <f>IF(J15=1,"TRIGGERED",IF(J15&gt;=0.5,"WARNING",IF(J15&gt;0,"WATCH","CALM")))</f>
        <v/>
      </c>
    </row>
    <row r="16">
      <c r="B16" s="12" t="inlineStr">
        <is>
          <t>Oracle (ORCL)</t>
        </is>
      </c>
      <c r="C16" s="13" t="n">
        <v>0.09</v>
      </c>
      <c r="D16" s="14">
        <f>_xlfn.MAXIFS(tblHistory[ORCL],tblHistory[Date],"&lt;="&amp;MAX(tblHistory[Date]),tblHistory[Date],"&gt;="&amp;MAX(tblHistory[Date])-365)</f>
        <v/>
      </c>
      <c r="E16" s="14">
        <f>SUMIFS(tblHistory[ORCL],tblHistory[Date],_xlfn.MAXIFS(tblHistory[Date],tblHistory[ORCL],"&lt;&gt;"))</f>
        <v/>
      </c>
      <c r="F16" s="15">
        <f>E16/D16-1</f>
        <v/>
      </c>
      <c r="G16" s="13" t="n">
        <v>-0.15</v>
      </c>
      <c r="H16" s="13" t="n">
        <v>-0.5</v>
      </c>
      <c r="I16" s="14">
        <f>D16*(1+H16)</f>
        <v/>
      </c>
      <c r="J16" s="16">
        <f>MIN(1,MAX(0,(F16-G16)/(H16-G16)))</f>
        <v/>
      </c>
      <c r="K16" s="17">
        <f>IF(J16=1,"TRIGGERED",IF(J16&gt;=0.5,"WARNING",IF(J16&gt;0,"WATCH","CALM")))</f>
        <v/>
      </c>
    </row>
    <row r="17">
      <c r="B17" s="12" t="inlineStr">
        <is>
          <t>CoreWeave (CRWV)</t>
        </is>
      </c>
      <c r="C17" s="13" t="n">
        <v>0.09</v>
      </c>
      <c r="D17" s="14">
        <f>_xlfn.MAXIFS(tblHistory[CRWV],tblHistory[Date],"&lt;="&amp;MAX(tblHistory[Date]),tblHistory[Date],"&gt;="&amp;MAX(tblHistory[Date])-365)</f>
        <v/>
      </c>
      <c r="E17" s="14">
        <f>SUMIFS(tblHistory[CRWV],tblHistory[Date],_xlfn.MAXIFS(tblHistory[Date],tblHistory[CRWV],"&lt;&gt;"))</f>
        <v/>
      </c>
      <c r="F17" s="15">
        <f>E17/D17-1</f>
        <v/>
      </c>
      <c r="G17" s="13" t="n">
        <v>-0.3</v>
      </c>
      <c r="H17" s="13" t="n">
        <v>-0.6</v>
      </c>
      <c r="I17" s="14">
        <f>D17*(1+H17)</f>
        <v/>
      </c>
      <c r="J17" s="16">
        <f>MIN(1,MAX(0,(F17-G17)/(H17-G17)))</f>
        <v/>
      </c>
      <c r="K17" s="17">
        <f>IF(J17=1,"TRIGGERED",IF(J17&gt;=0.5,"WARNING",IF(J17&gt;0,"WATCH","CALM")))</f>
        <v/>
      </c>
    </row>
    <row r="18">
      <c r="B18" s="12" t="inlineStr">
        <is>
          <t>BDC ETF (BIZD)</t>
        </is>
      </c>
      <c r="C18" s="13" t="n">
        <v>0.14</v>
      </c>
      <c r="D18" s="14">
        <f>_xlfn.MAXIFS(tblHistory[BIZD],tblHistory[Date],"&lt;="&amp;MAX(tblHistory[Date]),tblHistory[Date],"&gt;="&amp;MAX(tblHistory[Date])-365)</f>
        <v/>
      </c>
      <c r="E18" s="14">
        <f>SUMIFS(tblHistory[BIZD],tblHistory[Date],_xlfn.MAXIFS(tblHistory[Date],tblHistory[BIZD],"&lt;&gt;"))</f>
        <v/>
      </c>
      <c r="F18" s="15">
        <f>E18/D18-1</f>
        <v/>
      </c>
      <c r="G18" s="13" t="n">
        <v>-0.05</v>
      </c>
      <c r="H18" s="13" t="n">
        <v>-0.25</v>
      </c>
      <c r="I18" s="14">
        <f>D18*(1+H18)</f>
        <v/>
      </c>
      <c r="J18" s="16">
        <f>MIN(1,MAX(0,(F18-G18)/(H18-G18)))</f>
        <v/>
      </c>
      <c r="K18" s="17">
        <f>IF(J18=1,"TRIGGERED",IF(J18&gt;=0.5,"WARNING",IF(J18&gt;0,"WATCH","CALM")))</f>
        <v/>
      </c>
    </row>
    <row r="19">
      <c r="B19" s="12" t="inlineStr">
        <is>
          <t>Loan ETF (BKLN)</t>
        </is>
      </c>
      <c r="C19" s="13" t="n">
        <v>0.13</v>
      </c>
      <c r="D19" s="14">
        <f>_xlfn.MAXIFS(tblHistory[BKLN],tblHistory[Date],"&lt;="&amp;MAX(tblHistory[Date]),tblHistory[Date],"&gt;="&amp;MAX(tblHistory[Date])-365)</f>
        <v/>
      </c>
      <c r="E19" s="14">
        <f>SUMIFS(tblHistory[BKLN],tblHistory[Date],_xlfn.MAXIFS(tblHistory[Date],tblHistory[BKLN],"&lt;&gt;"))</f>
        <v/>
      </c>
      <c r="F19" s="15">
        <f>E19/D19-1</f>
        <v/>
      </c>
      <c r="G19" s="13" t="n">
        <v>-0.02</v>
      </c>
      <c r="H19" s="13" t="n">
        <v>-0.08</v>
      </c>
      <c r="I19" s="14">
        <f>D19*(1+H19)</f>
        <v/>
      </c>
      <c r="J19" s="16">
        <f>MIN(1,MAX(0,(F19-G19)/(H19-G19)))</f>
        <v/>
      </c>
      <c r="K19" s="17">
        <f>IF(J19=1,"TRIGGERED",IF(J19&gt;=0.5,"WARNING",IF(J19&gt;0,"WATCH","CALM")))</f>
        <v/>
      </c>
    </row>
    <row r="20">
      <c r="B20" s="12" t="inlineStr">
        <is>
          <t>HY OAS (bp) (HY)</t>
        </is>
      </c>
      <c r="C20" s="13" t="n">
        <v>0.1</v>
      </c>
      <c r="D20" s="18">
        <f>_xlfn.MINIFS(tblHistory[HY],tblHistory[Date],"&lt;="&amp;MAX(tblHistory[Date]),tblHistory[Date],"&gt;="&amp;MAX(tblHistory[Date])-365)</f>
        <v/>
      </c>
      <c r="E20" s="18">
        <f>SUMIFS(tblHistory[HY],tblHistory[Date],_xlfn.MAXIFS(tblHistory[Date],tblHistory[HY],"&lt;&gt;"))</f>
        <v/>
      </c>
      <c r="F20" s="19">
        <f>E20-D20</f>
        <v/>
      </c>
      <c r="G20" s="20" t="n">
        <v>400</v>
      </c>
      <c r="H20" s="20" t="n">
        <v>600</v>
      </c>
      <c r="I20" s="17">
        <f>IF(E20&lt;300,"Very Healthy",IF(E20&lt;400,"Normal",IF(E20&lt;500,"Watch",IF(E20&lt;600,"Warning",IF(E20&lt;800,"Severe Stress","Crisis")))))</f>
        <v/>
      </c>
      <c r="J20" s="16">
        <f>MIN(1,MAX(0,(E20-G20)/(H20-G20)))</f>
        <v/>
      </c>
      <c r="K20" s="17">
        <f>IF(J20=1,"TRIGGERED",IF(J20&gt;=0.5,"WARNING",IF(J20&gt;0,"WATCH","CALM")))</f>
        <v/>
      </c>
    </row>
    <row r="21">
      <c r="B21" s="21" t="inlineStr">
        <is>
          <t>Total weight</t>
        </is>
      </c>
      <c r="C21" s="22">
        <f>SUM(C13:C20)</f>
        <v/>
      </c>
    </row>
    <row r="22" ht="30" customHeight="1">
      <c r="B22" s="23" t="inlineStr">
        <is>
          <t>How it works: Drawdown = close ÷ trailing-365-day high − 1 (HY uses spread level in bp). Stress = clamp((x − Calm)/(Trigger − Calm), 0, 1). Score = weighted stress × 100. Levels need 5 straight trading days: L1 Score≥50 · L2 Score≥60 + BIZD≥80% + BKLN≥50% · L3 Score≥70 + SOX≥83% + AIQ≥80% · L4 Score≥75 + NDX=100% + (HY≥500bp or BIZD=100%). Implosion date = first day of the first L4 streak. Blue cells are editable.</t>
        </is>
      </c>
    </row>
    <row r="23" ht="30" customHeight="1"/>
    <row r="77">
      <c r="B77" s="24" t="inlineStr">
        <is>
          <t>AI Implosion Dashboard · designed by KK Reddy</t>
        </is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0" formatRows="0" sort="1"/>
  <mergeCells count="21">
    <mergeCell ref="B7:C7"/>
    <mergeCell ref="H9:I9"/>
    <mergeCell ref="F7:G7"/>
    <mergeCell ref="J9:K9"/>
    <mergeCell ref="B4:K4"/>
    <mergeCell ref="B8:C8"/>
    <mergeCell ref="B3:K3"/>
    <mergeCell ref="F8:G8"/>
    <mergeCell ref="D7:E7"/>
    <mergeCell ref="H7:I7"/>
    <mergeCell ref="J7:K7"/>
    <mergeCell ref="B77:K77"/>
    <mergeCell ref="B2:K2"/>
    <mergeCell ref="B9:C9"/>
    <mergeCell ref="D9:E9"/>
    <mergeCell ref="B11:K11"/>
    <mergeCell ref="F9:G9"/>
    <mergeCell ref="D8:E8"/>
    <mergeCell ref="B22:K23"/>
    <mergeCell ref="H8:I8"/>
    <mergeCell ref="J8:K8"/>
  </mergeCells>
  <conditionalFormatting sqref="B8">
    <cfRule type="expression" priority="1" dxfId="0" stopIfTrue="1">
      <formula>$B$8&gt;=75</formula>
    </cfRule>
    <cfRule type="expression" priority="2" dxfId="1" stopIfTrue="1">
      <formula>$B$8&gt;=50</formula>
    </cfRule>
    <cfRule type="expression" priority="3" dxfId="2" stopIfTrue="1">
      <formula>$B$8&gt;=25</formula>
    </cfRule>
    <cfRule type="expression" priority="4" dxfId="3" stopIfTrue="1">
      <formula>ISNUMBER($B$8)</formula>
    </cfRule>
  </conditionalFormatting>
  <conditionalFormatting sqref="K13:K20">
    <cfRule type="cellIs" priority="5" operator="equal" dxfId="4">
      <formula>"TRIGGERED"</formula>
    </cfRule>
    <cfRule type="cellIs" priority="6" operator="equal" dxfId="5">
      <formula>"WARNING"</formula>
    </cfRule>
    <cfRule type="cellIs" priority="7" operator="equal" dxfId="6">
      <formula>"WATCH"</formula>
    </cfRule>
    <cfRule type="cellIs" priority="8" operator="equal" dxfId="7">
      <formula>"CALM"</formula>
    </cfRule>
  </conditionalFormatting>
  <conditionalFormatting sqref="J13:J20">
    <cfRule type="dataBar" priority="9">
      <dataBar>
        <cfvo type="num" val="0"/>
        <cfvo type="num" val="1"/>
        <color rgb="006366F1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E25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4" customWidth="1" min="2" max="2"/>
    <col width="22" customWidth="1" min="3" max="3"/>
    <col width="16" customWidth="1" min="4" max="4"/>
    <col width="14" customWidth="1" min="5" max="5"/>
    <col width="14" customWidth="1" min="6" max="6"/>
  </cols>
  <sheetData>
    <row r="2">
      <c r="B2" s="25" t="inlineStr">
        <is>
          <t>TRACKER — score, levels &amp; bet</t>
        </is>
      </c>
    </row>
    <row r="4">
      <c r="B4" s="26" t="inlineStr">
        <is>
          <t>Latest date</t>
        </is>
      </c>
      <c r="C4" s="27">
        <f>MAX(tblHistory[Date])</f>
        <v/>
      </c>
    </row>
    <row r="5">
      <c r="B5" s="26" t="inlineStr">
        <is>
          <t>Score</t>
        </is>
      </c>
      <c r="C5" s="28">
        <f>INDEX(tblHistory[Score],MATCH(C4,tblHistory[Date],0))</f>
        <v/>
      </c>
    </row>
    <row r="6">
      <c r="B6" s="26" t="inlineStr">
        <is>
          <t>Triggers</t>
        </is>
      </c>
      <c r="C6" s="29">
        <f>COUNTIF(Dashboard!K13:K20,"TRIGGERED")&amp;" of 8"</f>
        <v/>
      </c>
    </row>
    <row r="7">
      <c r="B7" s="26" t="inlineStr">
        <is>
          <t>Band</t>
        </is>
      </c>
      <c r="C7" s="29">
        <f>IF(C18&lt;&gt;"","IMPLOSION CONFIRMED",IFERROR(IF(C5&lt;25,"NORMAL",IF(C5&lt;50,"ELEVATED",IF(C5&lt;75,"SEVERE","CRITICAL"))),"WARM-UP"))</f>
        <v/>
      </c>
    </row>
    <row r="10">
      <c r="B10" s="10" t="inlineStr">
        <is>
          <t>LEVELS</t>
        </is>
      </c>
    </row>
    <row r="11">
      <c r="B11" s="30" t="inlineStr">
        <is>
          <t>Level</t>
        </is>
      </c>
      <c r="C11" s="30" t="inlineStr">
        <is>
          <t>Name</t>
        </is>
      </c>
      <c r="D11" s="30" t="inlineStr">
        <is>
          <t>First date (5-day start)</t>
        </is>
      </c>
      <c r="E11" s="30" t="inlineStr">
        <is>
          <t>Active now</t>
        </is>
      </c>
    </row>
    <row r="12">
      <c r="B12" s="31" t="inlineStr">
        <is>
          <t>L1</t>
        </is>
      </c>
      <c r="C12" s="31" t="inlineStr">
        <is>
          <t>Warning</t>
        </is>
      </c>
      <c r="D12" s="32">
        <f>IF(COUNTIF(tblHistory[L1S],1),_xlfn.MINIFS(tblHistory[Date],tblHistory[L1S],1),"")</f>
        <v/>
      </c>
      <c r="E12" s="31">
        <f>IF(COUNTIFS(tblHistory[Date],"&gt;="&amp;LARGE(tblHistory[Date],5),tblHistory[L1],1)=5,"YES","NO")</f>
        <v/>
      </c>
    </row>
    <row r="13">
      <c r="B13" s="31" t="inlineStr">
        <is>
          <t>L2</t>
        </is>
      </c>
      <c r="C13" s="31" t="inlineStr">
        <is>
          <t>Financing Stress</t>
        </is>
      </c>
      <c r="D13" s="32">
        <f>IF(COUNTIF(tblHistory[L2S],1),_xlfn.MINIFS(tblHistory[Date],tblHistory[L2S],1),"")</f>
        <v/>
      </c>
      <c r="E13" s="31">
        <f>IF(COUNTIFS(tblHistory[Date],"&gt;="&amp;LARGE(tblHistory[Date],5),tblHistory[L2],1)=5,"YES","NO")</f>
        <v/>
      </c>
    </row>
    <row r="14">
      <c r="B14" s="31" t="inlineStr">
        <is>
          <t>L3</t>
        </is>
      </c>
      <c r="C14" s="31" t="inlineStr">
        <is>
          <t>Bubble Unwind</t>
        </is>
      </c>
      <c r="D14" s="32">
        <f>IF(COUNTIF(tblHistory[L3S],1),_xlfn.MINIFS(tblHistory[Date],tblHistory[L3S],1),"")</f>
        <v/>
      </c>
      <c r="E14" s="31">
        <f>IF(COUNTIFS(tblHistory[Date],"&gt;="&amp;LARGE(tblHistory[Date],5),tblHistory[L3],1)=5,"YES","NO")</f>
        <v/>
      </c>
    </row>
    <row r="15">
      <c r="B15" s="31" t="inlineStr">
        <is>
          <t>L4</t>
        </is>
      </c>
      <c r="C15" s="31" t="inlineStr">
        <is>
          <t>AI Implosion</t>
        </is>
      </c>
      <c r="D15" s="32">
        <f>IF(COUNTIF(tblHistory[L4S],1),_xlfn.MINIFS(tblHistory[Date],tblHistory[L4S],1),"")</f>
        <v/>
      </c>
      <c r="E15" s="31">
        <f>IF(COUNTIFS(tblHistory[Date],"&gt;="&amp;LARGE(tblHistory[Date],5),tblHistory[L4],1)=5,"YES","NO")</f>
        <v/>
      </c>
    </row>
    <row r="17">
      <c r="B17" s="26" t="inlineStr">
        <is>
          <t>Current level</t>
        </is>
      </c>
      <c r="C17">
        <f>IF(E15="YES","L4 AI Implosion",IF(E14="YES","L3 Bubble Unwind",IF(E13="YES","L2 Financing Stress",IF(E12="YES","L1 Warning","None"))))</f>
        <v/>
      </c>
    </row>
    <row r="18">
      <c r="B18" s="33" t="inlineStr">
        <is>
          <t>AI Implosion date</t>
        </is>
      </c>
      <c r="C18" s="34">
        <f>D15</f>
        <v/>
      </c>
    </row>
    <row r="20">
      <c r="B20" s="10" t="inlineStr">
        <is>
          <t>THE BET</t>
        </is>
      </c>
    </row>
    <row r="21">
      <c r="B21" s="30" t="inlineStr">
        <is>
          <t>Player</t>
        </is>
      </c>
      <c r="C21" s="30" t="inlineStr">
        <is>
          <t>Pick</t>
        </is>
      </c>
      <c r="D21" s="30" t="inlineStr">
        <is>
          <t>Days left</t>
        </is>
      </c>
      <c r="E21" s="30" t="inlineStr">
        <is>
          <t>Days off</t>
        </is>
      </c>
    </row>
    <row r="22">
      <c r="B22" s="31" t="inlineStr">
        <is>
          <t>KK</t>
        </is>
      </c>
      <c r="C22" s="35" t="n">
        <v>46418</v>
      </c>
      <c r="D22" s="31">
        <f>MAX(0,C22-TODAY())</f>
        <v/>
      </c>
      <c r="E22" s="31">
        <f>IF($C$18="","",ABS($C$18-C22))</f>
        <v/>
      </c>
    </row>
    <row r="23">
      <c r="B23" s="31" t="inlineStr">
        <is>
          <t>SJ</t>
        </is>
      </c>
      <c r="C23" s="35" t="n">
        <v>46568</v>
      </c>
      <c r="D23" s="31">
        <f>MAX(0,C23-TODAY())</f>
        <v/>
      </c>
      <c r="E23" s="31">
        <f>IF($C$18="","",ABS($C$18-C23))</f>
        <v/>
      </c>
    </row>
    <row r="25">
      <c r="B25" s="26" t="inlineStr">
        <is>
          <t>Winner</t>
        </is>
      </c>
      <c r="C25" s="36">
        <f>IF(C18="","TBD",IF(E22&lt;E23,"KK",IF(E23&lt;E22,"SJ","TIE")))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0" formatRows="0" sort="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526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</cols>
  <sheetData>
    <row r="1">
      <c r="A1" s="33" t="inlineStr">
        <is>
          <t>SAMPLE DATA — illustrative random-walk prices, NOT real market history. Run update_dashboard.py to load real data.</t>
        </is>
      </c>
    </row>
    <row r="2">
      <c r="A2" s="37" t="inlineStr">
        <is>
          <t>Inputs: Date + 8 closes (light blue). Everything from 'NDX S' onward is calculated — don't type there. Blank HY = carry last value.</t>
        </is>
      </c>
    </row>
    <row r="3">
      <c r="A3" s="38" t="inlineStr">
        <is>
          <t>Date</t>
        </is>
      </c>
      <c r="B3" s="38" t="inlineStr">
        <is>
          <t>NDX</t>
        </is>
      </c>
      <c r="C3" s="38" t="inlineStr">
        <is>
          <t>SOX</t>
        </is>
      </c>
      <c r="D3" s="38" t="inlineStr">
        <is>
          <t>AIQ</t>
        </is>
      </c>
      <c r="E3" s="38" t="inlineStr">
        <is>
          <t>ORCL</t>
        </is>
      </c>
      <c r="F3" s="38" t="inlineStr">
        <is>
          <t>CRWV</t>
        </is>
      </c>
      <c r="G3" s="38" t="inlineStr">
        <is>
          <t>BIZD</t>
        </is>
      </c>
      <c r="H3" s="38" t="inlineStr">
        <is>
          <t>BKLN</t>
        </is>
      </c>
      <c r="I3" s="38" t="inlineStr">
        <is>
          <t>HY</t>
        </is>
      </c>
      <c r="J3" s="38" t="inlineStr">
        <is>
          <t>NDX S</t>
        </is>
      </c>
      <c r="K3" s="38" t="inlineStr">
        <is>
          <t>SOX S</t>
        </is>
      </c>
      <c r="L3" s="38" t="inlineStr">
        <is>
          <t>AIQ S</t>
        </is>
      </c>
      <c r="M3" s="38" t="inlineStr">
        <is>
          <t>ORCL S</t>
        </is>
      </c>
      <c r="N3" s="38" t="inlineStr">
        <is>
          <t>CRWV S</t>
        </is>
      </c>
      <c r="O3" s="38" t="inlineStr">
        <is>
          <t>BIZD S</t>
        </is>
      </c>
      <c r="P3" s="38" t="inlineStr">
        <is>
          <t>BKLN S</t>
        </is>
      </c>
      <c r="Q3" s="38" t="inlineStr">
        <is>
          <t>HY S</t>
        </is>
      </c>
      <c r="R3" s="38" t="inlineStr">
        <is>
          <t>EquityP</t>
        </is>
      </c>
      <c r="S3" s="38" t="inlineStr">
        <is>
          <t>FinP</t>
        </is>
      </c>
      <c r="T3" s="38" t="inlineStr">
        <is>
          <t>CreditP</t>
        </is>
      </c>
      <c r="U3" s="38" t="inlineStr">
        <is>
          <t>Score</t>
        </is>
      </c>
      <c r="V3" s="38" t="inlineStr">
        <is>
          <t>L1</t>
        </is>
      </c>
      <c r="W3" s="38" t="inlineStr">
        <is>
          <t>L2</t>
        </is>
      </c>
      <c r="X3" s="38" t="inlineStr">
        <is>
          <t>L3</t>
        </is>
      </c>
      <c r="Y3" s="38" t="inlineStr">
        <is>
          <t>L4</t>
        </is>
      </c>
      <c r="Z3" s="38" t="inlineStr">
        <is>
          <t>L1S</t>
        </is>
      </c>
      <c r="AA3" s="38" t="inlineStr">
        <is>
          <t>L2S</t>
        </is>
      </c>
      <c r="AB3" s="38" t="inlineStr">
        <is>
          <t>L3S</t>
        </is>
      </c>
      <c r="AC3" s="38" t="inlineStr">
        <is>
          <t>L4S</t>
        </is>
      </c>
    </row>
    <row r="4">
      <c r="A4" s="39" t="n">
        <v>46310</v>
      </c>
      <c r="B4" s="40" t="n">
        <v>24099.46</v>
      </c>
      <c r="C4" s="40" t="n">
        <v>9364.68</v>
      </c>
      <c r="D4" s="40" t="n">
        <v>39.07</v>
      </c>
      <c r="E4" s="40" t="n">
        <v>188.77</v>
      </c>
      <c r="F4" s="40" t="n">
        <v>33.59</v>
      </c>
      <c r="G4" s="40" t="n">
        <v>15.68</v>
      </c>
      <c r="H4" s="40" t="n">
        <v>20.84</v>
      </c>
      <c r="I4" s="41" t="n">
        <v>405</v>
      </c>
      <c r="J4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4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4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4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4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4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4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4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4" s="43">
        <f>(Dashboard!$C$13*tblHistory[[#This Row],[NDX S]]+Dashboard!$C$14*tblHistory[[#This Row],[SOX S]]+Dashboard!$C$15*tblHistory[[#This Row],[AIQ S]])/SUM(Dashboard!$C$13:$C$15)*100</f>
        <v/>
      </c>
      <c r="S4" s="43">
        <f>(Dashboard!$C$16*tblHistory[[#This Row],[ORCL S]]+Dashboard!$C$17*tblHistory[[#This Row],[CRWV S]])/SUM(Dashboard!$C$16:$C$17)*100</f>
        <v/>
      </c>
      <c r="T4" s="43">
        <f>(Dashboard!$C$18*tblHistory[[#This Row],[BIZD S]]+Dashboard!$C$19*tblHistory[[#This Row],[BKLN S]]+Dashboard!$C$20*tblHistory[[#This Row],[HY S]])/SUM(Dashboard!$C$18:$C$20)*100</f>
        <v/>
      </c>
      <c r="U4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4" s="43">
        <f>IFERROR(--(tblHistory[[#This Row],[Score]]&gt;=50),0)</f>
        <v/>
      </c>
      <c r="W4" s="43">
        <f>IFERROR(--AND(tblHistory[[#This Row],[Score]]&gt;=60,tblHistory[[#This Row],[BIZD S]]&gt;=0.8,tblHistory[[#This Row],[BKLN S]]&gt;=0.5),0)</f>
        <v/>
      </c>
      <c r="X4" s="43">
        <f>IFERROR(--AND(tblHistory[[#This Row],[Score]]&gt;=70,tblHistory[[#This Row],[SOX S]]&gt;=0.83,tblHistory[[#This Row],[AIQ S]]&gt;=0.8),0)</f>
        <v/>
      </c>
      <c r="Y4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4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4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4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4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5">
      <c r="A5" s="39" t="n">
        <v>46309</v>
      </c>
      <c r="B5" s="40" t="n">
        <v>24395.61</v>
      </c>
      <c r="C5" s="40" t="n">
        <v>9084.879999999999</v>
      </c>
      <c r="D5" s="40" t="n">
        <v>39.06</v>
      </c>
      <c r="E5" s="40" t="n">
        <v>192.34</v>
      </c>
      <c r="F5" s="40" t="n">
        <v>33.14</v>
      </c>
      <c r="G5" s="40" t="n">
        <v>15.92</v>
      </c>
      <c r="H5" s="40" t="n">
        <v>20.78</v>
      </c>
      <c r="I5" s="41" t="n">
        <v>408</v>
      </c>
      <c r="J5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5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5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5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5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5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5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5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5" s="43">
        <f>(Dashboard!$C$13*tblHistory[[#This Row],[NDX S]]+Dashboard!$C$14*tblHistory[[#This Row],[SOX S]]+Dashboard!$C$15*tblHistory[[#This Row],[AIQ S]])/SUM(Dashboard!$C$13:$C$15)*100</f>
        <v/>
      </c>
      <c r="S5" s="43">
        <f>(Dashboard!$C$16*tblHistory[[#This Row],[ORCL S]]+Dashboard!$C$17*tblHistory[[#This Row],[CRWV S]])/SUM(Dashboard!$C$16:$C$17)*100</f>
        <v/>
      </c>
      <c r="T5" s="43">
        <f>(Dashboard!$C$18*tblHistory[[#This Row],[BIZD S]]+Dashboard!$C$19*tblHistory[[#This Row],[BKLN S]]+Dashboard!$C$20*tblHistory[[#This Row],[HY S]])/SUM(Dashboard!$C$18:$C$20)*100</f>
        <v/>
      </c>
      <c r="U5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5" s="43">
        <f>IFERROR(--(tblHistory[[#This Row],[Score]]&gt;=50),0)</f>
        <v/>
      </c>
      <c r="W5" s="43">
        <f>IFERROR(--AND(tblHistory[[#This Row],[Score]]&gt;=60,tblHistory[[#This Row],[BIZD S]]&gt;=0.8,tblHistory[[#This Row],[BKLN S]]&gt;=0.5),0)</f>
        <v/>
      </c>
      <c r="X5" s="43">
        <f>IFERROR(--AND(tblHistory[[#This Row],[Score]]&gt;=70,tblHistory[[#This Row],[SOX S]]&gt;=0.83,tblHistory[[#This Row],[AIQ S]]&gt;=0.8),0)</f>
        <v/>
      </c>
      <c r="Y5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5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5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5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5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6">
      <c r="A6" s="39" t="n">
        <v>46308</v>
      </c>
      <c r="B6" s="40" t="n">
        <v>25181.51</v>
      </c>
      <c r="C6" s="40" t="n">
        <v>8718.709999999999</v>
      </c>
      <c r="D6" s="40" t="n">
        <v>39.11</v>
      </c>
      <c r="E6" s="40" t="n">
        <v>197.87</v>
      </c>
      <c r="F6" s="40" t="n">
        <v>34.57</v>
      </c>
      <c r="G6" s="40" t="n">
        <v>16.27</v>
      </c>
      <c r="H6" s="40" t="n">
        <v>20.77</v>
      </c>
      <c r="I6" s="41" t="n">
        <v>400</v>
      </c>
      <c r="J6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6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6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6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6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6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6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6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6" s="43">
        <f>(Dashboard!$C$13*tblHistory[[#This Row],[NDX S]]+Dashboard!$C$14*tblHistory[[#This Row],[SOX S]]+Dashboard!$C$15*tblHistory[[#This Row],[AIQ S]])/SUM(Dashboard!$C$13:$C$15)*100</f>
        <v/>
      </c>
      <c r="S6" s="43">
        <f>(Dashboard!$C$16*tblHistory[[#This Row],[ORCL S]]+Dashboard!$C$17*tblHistory[[#This Row],[CRWV S]])/SUM(Dashboard!$C$16:$C$17)*100</f>
        <v/>
      </c>
      <c r="T6" s="43">
        <f>(Dashboard!$C$18*tblHistory[[#This Row],[BIZD S]]+Dashboard!$C$19*tblHistory[[#This Row],[BKLN S]]+Dashboard!$C$20*tblHistory[[#This Row],[HY S]])/SUM(Dashboard!$C$18:$C$20)*100</f>
        <v/>
      </c>
      <c r="U6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6" s="43">
        <f>IFERROR(--(tblHistory[[#This Row],[Score]]&gt;=50),0)</f>
        <v/>
      </c>
      <c r="W6" s="43">
        <f>IFERROR(--AND(tblHistory[[#This Row],[Score]]&gt;=60,tblHistory[[#This Row],[BIZD S]]&gt;=0.8,tblHistory[[#This Row],[BKLN S]]&gt;=0.5),0)</f>
        <v/>
      </c>
      <c r="X6" s="43">
        <f>IFERROR(--AND(tblHistory[[#This Row],[Score]]&gt;=70,tblHistory[[#This Row],[SOX S]]&gt;=0.83,tblHistory[[#This Row],[AIQ S]]&gt;=0.8),0)</f>
        <v/>
      </c>
      <c r="Y6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6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6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6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6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7">
      <c r="A7" s="39" t="n">
        <v>46307</v>
      </c>
      <c r="B7" s="40" t="n">
        <v>24926.01</v>
      </c>
      <c r="C7" s="40" t="n">
        <v>8940.889999999999</v>
      </c>
      <c r="D7" s="40" t="n">
        <v>39.22</v>
      </c>
      <c r="E7" s="40" t="n">
        <v>199.65</v>
      </c>
      <c r="F7" s="40" t="n">
        <v>37.23</v>
      </c>
      <c r="G7" s="40" t="n">
        <v>16.42</v>
      </c>
      <c r="H7" s="40" t="n">
        <v>20.8</v>
      </c>
      <c r="I7" s="41" t="n">
        <v>395</v>
      </c>
      <c r="J7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7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7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7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7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7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7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7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7" s="43">
        <f>(Dashboard!$C$13*tblHistory[[#This Row],[NDX S]]+Dashboard!$C$14*tblHistory[[#This Row],[SOX S]]+Dashboard!$C$15*tblHistory[[#This Row],[AIQ S]])/SUM(Dashboard!$C$13:$C$15)*100</f>
        <v/>
      </c>
      <c r="S7" s="43">
        <f>(Dashboard!$C$16*tblHistory[[#This Row],[ORCL S]]+Dashboard!$C$17*tblHistory[[#This Row],[CRWV S]])/SUM(Dashboard!$C$16:$C$17)*100</f>
        <v/>
      </c>
      <c r="T7" s="43">
        <f>(Dashboard!$C$18*tblHistory[[#This Row],[BIZD S]]+Dashboard!$C$19*tblHistory[[#This Row],[BKLN S]]+Dashboard!$C$20*tblHistory[[#This Row],[HY S]])/SUM(Dashboard!$C$18:$C$20)*100</f>
        <v/>
      </c>
      <c r="U7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7" s="43">
        <f>IFERROR(--(tblHistory[[#This Row],[Score]]&gt;=50),0)</f>
        <v/>
      </c>
      <c r="W7" s="43">
        <f>IFERROR(--AND(tblHistory[[#This Row],[Score]]&gt;=60,tblHistory[[#This Row],[BIZD S]]&gt;=0.8,tblHistory[[#This Row],[BKLN S]]&gt;=0.5),0)</f>
        <v/>
      </c>
      <c r="X7" s="43">
        <f>IFERROR(--AND(tblHistory[[#This Row],[Score]]&gt;=70,tblHistory[[#This Row],[SOX S]]&gt;=0.83,tblHistory[[#This Row],[AIQ S]]&gt;=0.8),0)</f>
        <v/>
      </c>
      <c r="Y7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7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7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7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7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8">
      <c r="A8" s="39" t="n">
        <v>46304</v>
      </c>
      <c r="B8" s="40" t="n">
        <v>24969.32</v>
      </c>
      <c r="C8" s="40" t="n">
        <v>9311.969999999999</v>
      </c>
      <c r="D8" s="40" t="n">
        <v>39.63</v>
      </c>
      <c r="E8" s="40" t="n">
        <v>212.19</v>
      </c>
      <c r="F8" s="40" t="n">
        <v>37.35</v>
      </c>
      <c r="G8" s="40" t="n">
        <v>16.38</v>
      </c>
      <c r="H8" s="40" t="n">
        <v>20.82</v>
      </c>
      <c r="I8" s="41" t="n">
        <v>406</v>
      </c>
      <c r="J8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8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8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8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8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8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8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8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8" s="43">
        <f>(Dashboard!$C$13*tblHistory[[#This Row],[NDX S]]+Dashboard!$C$14*tblHistory[[#This Row],[SOX S]]+Dashboard!$C$15*tblHistory[[#This Row],[AIQ S]])/SUM(Dashboard!$C$13:$C$15)*100</f>
        <v/>
      </c>
      <c r="S8" s="43">
        <f>(Dashboard!$C$16*tblHistory[[#This Row],[ORCL S]]+Dashboard!$C$17*tblHistory[[#This Row],[CRWV S]])/SUM(Dashboard!$C$16:$C$17)*100</f>
        <v/>
      </c>
      <c r="T8" s="43">
        <f>(Dashboard!$C$18*tblHistory[[#This Row],[BIZD S]]+Dashboard!$C$19*tblHistory[[#This Row],[BKLN S]]+Dashboard!$C$20*tblHistory[[#This Row],[HY S]])/SUM(Dashboard!$C$18:$C$20)*100</f>
        <v/>
      </c>
      <c r="U8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8" s="43">
        <f>IFERROR(--(tblHistory[[#This Row],[Score]]&gt;=50),0)</f>
        <v/>
      </c>
      <c r="W8" s="43">
        <f>IFERROR(--AND(tblHistory[[#This Row],[Score]]&gt;=60,tblHistory[[#This Row],[BIZD S]]&gt;=0.8,tblHistory[[#This Row],[BKLN S]]&gt;=0.5),0)</f>
        <v/>
      </c>
      <c r="X8" s="43">
        <f>IFERROR(--AND(tblHistory[[#This Row],[Score]]&gt;=70,tblHistory[[#This Row],[SOX S]]&gt;=0.83,tblHistory[[#This Row],[AIQ S]]&gt;=0.8),0)</f>
        <v/>
      </c>
      <c r="Y8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8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8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8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8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9">
      <c r="A9" s="39" t="n">
        <v>46303</v>
      </c>
      <c r="B9" s="40" t="n">
        <v>24720.26</v>
      </c>
      <c r="C9" s="40" t="n">
        <v>9533.68</v>
      </c>
      <c r="D9" s="40" t="n">
        <v>39.78</v>
      </c>
      <c r="E9" s="40" t="n">
        <v>219.99</v>
      </c>
      <c r="F9" s="40" t="n">
        <v>37.93</v>
      </c>
      <c r="G9" s="40" t="n">
        <v>16.42</v>
      </c>
      <c r="H9" s="40" t="n">
        <v>20.84</v>
      </c>
      <c r="I9" s="41" t="n">
        <v>408</v>
      </c>
      <c r="J9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9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9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9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9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9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9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9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9" s="43">
        <f>(Dashboard!$C$13*tblHistory[[#This Row],[NDX S]]+Dashboard!$C$14*tblHistory[[#This Row],[SOX S]]+Dashboard!$C$15*tblHistory[[#This Row],[AIQ S]])/SUM(Dashboard!$C$13:$C$15)*100</f>
        <v/>
      </c>
      <c r="S9" s="43">
        <f>(Dashboard!$C$16*tblHistory[[#This Row],[ORCL S]]+Dashboard!$C$17*tblHistory[[#This Row],[CRWV S]])/SUM(Dashboard!$C$16:$C$17)*100</f>
        <v/>
      </c>
      <c r="T9" s="43">
        <f>(Dashboard!$C$18*tblHistory[[#This Row],[BIZD S]]+Dashboard!$C$19*tblHistory[[#This Row],[BKLN S]]+Dashboard!$C$20*tblHistory[[#This Row],[HY S]])/SUM(Dashboard!$C$18:$C$20)*100</f>
        <v/>
      </c>
      <c r="U9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9" s="43">
        <f>IFERROR(--(tblHistory[[#This Row],[Score]]&gt;=50),0)</f>
        <v/>
      </c>
      <c r="W9" s="43">
        <f>IFERROR(--AND(tblHistory[[#This Row],[Score]]&gt;=60,tblHistory[[#This Row],[BIZD S]]&gt;=0.8,tblHistory[[#This Row],[BKLN S]]&gt;=0.5),0)</f>
        <v/>
      </c>
      <c r="X9" s="43">
        <f>IFERROR(--AND(tblHistory[[#This Row],[Score]]&gt;=70,tblHistory[[#This Row],[SOX S]]&gt;=0.83,tblHistory[[#This Row],[AIQ S]]&gt;=0.8),0)</f>
        <v/>
      </c>
      <c r="Y9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9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9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9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9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10">
      <c r="A10" s="39" t="n">
        <v>46302</v>
      </c>
      <c r="B10" s="40" t="n">
        <v>24895.24</v>
      </c>
      <c r="C10" s="40" t="n">
        <v>9432.52</v>
      </c>
      <c r="D10" s="40" t="n">
        <v>40.46</v>
      </c>
      <c r="E10" s="40" t="n">
        <v>221.54</v>
      </c>
      <c r="F10" s="40" t="n">
        <v>36.23</v>
      </c>
      <c r="G10" s="40" t="n">
        <v>16.28</v>
      </c>
      <c r="H10" s="40" t="n">
        <v>20.89</v>
      </c>
      <c r="I10" s="41" t="n">
        <v>402</v>
      </c>
      <c r="J10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10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10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10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10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10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10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10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10" s="43">
        <f>(Dashboard!$C$13*tblHistory[[#This Row],[NDX S]]+Dashboard!$C$14*tblHistory[[#This Row],[SOX S]]+Dashboard!$C$15*tblHistory[[#This Row],[AIQ S]])/SUM(Dashboard!$C$13:$C$15)*100</f>
        <v/>
      </c>
      <c r="S10" s="43">
        <f>(Dashboard!$C$16*tblHistory[[#This Row],[ORCL S]]+Dashboard!$C$17*tblHistory[[#This Row],[CRWV S]])/SUM(Dashboard!$C$16:$C$17)*100</f>
        <v/>
      </c>
      <c r="T10" s="43">
        <f>(Dashboard!$C$18*tblHistory[[#This Row],[BIZD S]]+Dashboard!$C$19*tblHistory[[#This Row],[BKLN S]]+Dashboard!$C$20*tblHistory[[#This Row],[HY S]])/SUM(Dashboard!$C$18:$C$20)*100</f>
        <v/>
      </c>
      <c r="U10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10" s="43">
        <f>IFERROR(--(tblHistory[[#This Row],[Score]]&gt;=50),0)</f>
        <v/>
      </c>
      <c r="W10" s="43">
        <f>IFERROR(--AND(tblHistory[[#This Row],[Score]]&gt;=60,tblHistory[[#This Row],[BIZD S]]&gt;=0.8,tblHistory[[#This Row],[BKLN S]]&gt;=0.5),0)</f>
        <v/>
      </c>
      <c r="X10" s="43">
        <f>IFERROR(--AND(tblHistory[[#This Row],[Score]]&gt;=70,tblHistory[[#This Row],[SOX S]]&gt;=0.83,tblHistory[[#This Row],[AIQ S]]&gt;=0.8),0)</f>
        <v/>
      </c>
      <c r="Y10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10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10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10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10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11">
      <c r="A11" s="39" t="n">
        <v>46301</v>
      </c>
      <c r="B11" s="40" t="n">
        <v>24287.97</v>
      </c>
      <c r="C11" s="40" t="n">
        <v>9620.85</v>
      </c>
      <c r="D11" s="40" t="n">
        <v>40.93</v>
      </c>
      <c r="E11" s="40" t="n">
        <v>223.99</v>
      </c>
      <c r="F11" s="40" t="n">
        <v>39.02</v>
      </c>
      <c r="G11" s="40" t="n">
        <v>16.04</v>
      </c>
      <c r="H11" s="40" t="n">
        <v>20.86</v>
      </c>
      <c r="I11" s="41" t="n">
        <v>394</v>
      </c>
      <c r="J11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11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11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11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11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11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11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11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11" s="43">
        <f>(Dashboard!$C$13*tblHistory[[#This Row],[NDX S]]+Dashboard!$C$14*tblHistory[[#This Row],[SOX S]]+Dashboard!$C$15*tblHistory[[#This Row],[AIQ S]])/SUM(Dashboard!$C$13:$C$15)*100</f>
        <v/>
      </c>
      <c r="S11" s="43">
        <f>(Dashboard!$C$16*tblHistory[[#This Row],[ORCL S]]+Dashboard!$C$17*tblHistory[[#This Row],[CRWV S]])/SUM(Dashboard!$C$16:$C$17)*100</f>
        <v/>
      </c>
      <c r="T11" s="43">
        <f>(Dashboard!$C$18*tblHistory[[#This Row],[BIZD S]]+Dashboard!$C$19*tblHistory[[#This Row],[BKLN S]]+Dashboard!$C$20*tblHistory[[#This Row],[HY S]])/SUM(Dashboard!$C$18:$C$20)*100</f>
        <v/>
      </c>
      <c r="U11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11" s="43">
        <f>IFERROR(--(tblHistory[[#This Row],[Score]]&gt;=50),0)</f>
        <v/>
      </c>
      <c r="W11" s="43">
        <f>IFERROR(--AND(tblHistory[[#This Row],[Score]]&gt;=60,tblHistory[[#This Row],[BIZD S]]&gt;=0.8,tblHistory[[#This Row],[BKLN S]]&gt;=0.5),0)</f>
        <v/>
      </c>
      <c r="X11" s="43">
        <f>IFERROR(--AND(tblHistory[[#This Row],[Score]]&gt;=70,tblHistory[[#This Row],[SOX S]]&gt;=0.83,tblHistory[[#This Row],[AIQ S]]&gt;=0.8),0)</f>
        <v/>
      </c>
      <c r="Y11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11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11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11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11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12">
      <c r="A12" s="39" t="n">
        <v>46300</v>
      </c>
      <c r="B12" s="40" t="n">
        <v>24486.77</v>
      </c>
      <c r="C12" s="40" t="n">
        <v>9795.26</v>
      </c>
      <c r="D12" s="40" t="n">
        <v>41.44</v>
      </c>
      <c r="E12" s="40" t="n">
        <v>225.87</v>
      </c>
      <c r="F12" s="40" t="n">
        <v>38.04</v>
      </c>
      <c r="G12" s="40" t="n">
        <v>16.21</v>
      </c>
      <c r="H12" s="40" t="n">
        <v>20.86</v>
      </c>
      <c r="I12" s="41" t="n">
        <v>391</v>
      </c>
      <c r="J12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12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12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12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12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12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12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12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12" s="43">
        <f>(Dashboard!$C$13*tblHistory[[#This Row],[NDX S]]+Dashboard!$C$14*tblHistory[[#This Row],[SOX S]]+Dashboard!$C$15*tblHistory[[#This Row],[AIQ S]])/SUM(Dashboard!$C$13:$C$15)*100</f>
        <v/>
      </c>
      <c r="S12" s="43">
        <f>(Dashboard!$C$16*tblHistory[[#This Row],[ORCL S]]+Dashboard!$C$17*tblHistory[[#This Row],[CRWV S]])/SUM(Dashboard!$C$16:$C$17)*100</f>
        <v/>
      </c>
      <c r="T12" s="43">
        <f>(Dashboard!$C$18*tblHistory[[#This Row],[BIZD S]]+Dashboard!$C$19*tblHistory[[#This Row],[BKLN S]]+Dashboard!$C$20*tblHistory[[#This Row],[HY S]])/SUM(Dashboard!$C$18:$C$20)*100</f>
        <v/>
      </c>
      <c r="U12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12" s="43">
        <f>IFERROR(--(tblHistory[[#This Row],[Score]]&gt;=50),0)</f>
        <v/>
      </c>
      <c r="W12" s="43">
        <f>IFERROR(--AND(tblHistory[[#This Row],[Score]]&gt;=60,tblHistory[[#This Row],[BIZD S]]&gt;=0.8,tblHistory[[#This Row],[BKLN S]]&gt;=0.5),0)</f>
        <v/>
      </c>
      <c r="X12" s="43">
        <f>IFERROR(--AND(tblHistory[[#This Row],[Score]]&gt;=70,tblHistory[[#This Row],[SOX S]]&gt;=0.83,tblHistory[[#This Row],[AIQ S]]&gt;=0.8),0)</f>
        <v/>
      </c>
      <c r="Y12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12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12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12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12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13">
      <c r="A13" s="39" t="n">
        <v>46297</v>
      </c>
      <c r="B13" s="40" t="n">
        <v>24411.37</v>
      </c>
      <c r="C13" s="40" t="n">
        <v>9705.040000000001</v>
      </c>
      <c r="D13" s="40" t="n">
        <v>41.78</v>
      </c>
      <c r="E13" s="40" t="n">
        <v>229.28</v>
      </c>
      <c r="F13" s="40" t="n">
        <v>40.19</v>
      </c>
      <c r="G13" s="40" t="n">
        <v>16.36</v>
      </c>
      <c r="H13" s="40" t="n">
        <v>20.93</v>
      </c>
      <c r="I13" s="41" t="n">
        <v>387</v>
      </c>
      <c r="J13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13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13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13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13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13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13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13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13" s="43">
        <f>(Dashboard!$C$13*tblHistory[[#This Row],[NDX S]]+Dashboard!$C$14*tblHistory[[#This Row],[SOX S]]+Dashboard!$C$15*tblHistory[[#This Row],[AIQ S]])/SUM(Dashboard!$C$13:$C$15)*100</f>
        <v/>
      </c>
      <c r="S13" s="43">
        <f>(Dashboard!$C$16*tblHistory[[#This Row],[ORCL S]]+Dashboard!$C$17*tblHistory[[#This Row],[CRWV S]])/SUM(Dashboard!$C$16:$C$17)*100</f>
        <v/>
      </c>
      <c r="T13" s="43">
        <f>(Dashboard!$C$18*tblHistory[[#This Row],[BIZD S]]+Dashboard!$C$19*tblHistory[[#This Row],[BKLN S]]+Dashboard!$C$20*tblHistory[[#This Row],[HY S]])/SUM(Dashboard!$C$18:$C$20)*100</f>
        <v/>
      </c>
      <c r="U13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13" s="43">
        <f>IFERROR(--(tblHistory[[#This Row],[Score]]&gt;=50),0)</f>
        <v/>
      </c>
      <c r="W13" s="43">
        <f>IFERROR(--AND(tblHistory[[#This Row],[Score]]&gt;=60,tblHistory[[#This Row],[BIZD S]]&gt;=0.8,tblHistory[[#This Row],[BKLN S]]&gt;=0.5),0)</f>
        <v/>
      </c>
      <c r="X13" s="43">
        <f>IFERROR(--AND(tblHistory[[#This Row],[Score]]&gt;=70,tblHistory[[#This Row],[SOX S]]&gt;=0.83,tblHistory[[#This Row],[AIQ S]]&gt;=0.8),0)</f>
        <v/>
      </c>
      <c r="Y13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13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13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13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13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14">
      <c r="A14" s="39" t="n">
        <v>46296</v>
      </c>
      <c r="B14" s="40" t="n">
        <v>24458.55</v>
      </c>
      <c r="C14" s="40" t="n">
        <v>9595.870000000001</v>
      </c>
      <c r="D14" s="40" t="n">
        <v>42.66</v>
      </c>
      <c r="E14" s="40" t="n">
        <v>229.43</v>
      </c>
      <c r="F14" s="40" t="n">
        <v>42.32</v>
      </c>
      <c r="G14" s="40" t="n">
        <v>16.5</v>
      </c>
      <c r="H14" s="40" t="n">
        <v>20.99</v>
      </c>
      <c r="I14" s="41" t="n">
        <v>386</v>
      </c>
      <c r="J14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14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14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14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14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14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14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14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14" s="43">
        <f>(Dashboard!$C$13*tblHistory[[#This Row],[NDX S]]+Dashboard!$C$14*tblHistory[[#This Row],[SOX S]]+Dashboard!$C$15*tblHistory[[#This Row],[AIQ S]])/SUM(Dashboard!$C$13:$C$15)*100</f>
        <v/>
      </c>
      <c r="S14" s="43">
        <f>(Dashboard!$C$16*tblHistory[[#This Row],[ORCL S]]+Dashboard!$C$17*tblHistory[[#This Row],[CRWV S]])/SUM(Dashboard!$C$16:$C$17)*100</f>
        <v/>
      </c>
      <c r="T14" s="43">
        <f>(Dashboard!$C$18*tblHistory[[#This Row],[BIZD S]]+Dashboard!$C$19*tblHistory[[#This Row],[BKLN S]]+Dashboard!$C$20*tblHistory[[#This Row],[HY S]])/SUM(Dashboard!$C$18:$C$20)*100</f>
        <v/>
      </c>
      <c r="U14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14" s="43">
        <f>IFERROR(--(tblHistory[[#This Row],[Score]]&gt;=50),0)</f>
        <v/>
      </c>
      <c r="W14" s="43">
        <f>IFERROR(--AND(tblHistory[[#This Row],[Score]]&gt;=60,tblHistory[[#This Row],[BIZD S]]&gt;=0.8,tblHistory[[#This Row],[BKLN S]]&gt;=0.5),0)</f>
        <v/>
      </c>
      <c r="X14" s="43">
        <f>IFERROR(--AND(tblHistory[[#This Row],[Score]]&gt;=70,tblHistory[[#This Row],[SOX S]]&gt;=0.83,tblHistory[[#This Row],[AIQ S]]&gt;=0.8),0)</f>
        <v/>
      </c>
      <c r="Y14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14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14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14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14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15">
      <c r="A15" s="39" t="n">
        <v>46295</v>
      </c>
      <c r="B15" s="40" t="n">
        <v>24681.85</v>
      </c>
      <c r="C15" s="40" t="n">
        <v>9379.110000000001</v>
      </c>
      <c r="D15" s="40" t="n">
        <v>43.1</v>
      </c>
      <c r="E15" s="40" t="n">
        <v>238.86</v>
      </c>
      <c r="F15" s="40" t="n">
        <v>42.24</v>
      </c>
      <c r="G15" s="40" t="n">
        <v>16.64</v>
      </c>
      <c r="H15" s="40" t="n">
        <v>21.03</v>
      </c>
      <c r="I15" s="41" t="n"/>
      <c r="J15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15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15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15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15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15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15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15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15" s="43">
        <f>(Dashboard!$C$13*tblHistory[[#This Row],[NDX S]]+Dashboard!$C$14*tblHistory[[#This Row],[SOX S]]+Dashboard!$C$15*tblHistory[[#This Row],[AIQ S]])/SUM(Dashboard!$C$13:$C$15)*100</f>
        <v/>
      </c>
      <c r="S15" s="43">
        <f>(Dashboard!$C$16*tblHistory[[#This Row],[ORCL S]]+Dashboard!$C$17*tblHistory[[#This Row],[CRWV S]])/SUM(Dashboard!$C$16:$C$17)*100</f>
        <v/>
      </c>
      <c r="T15" s="43">
        <f>(Dashboard!$C$18*tblHistory[[#This Row],[BIZD S]]+Dashboard!$C$19*tblHistory[[#This Row],[BKLN S]]+Dashboard!$C$20*tblHistory[[#This Row],[HY S]])/SUM(Dashboard!$C$18:$C$20)*100</f>
        <v/>
      </c>
      <c r="U15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15" s="43">
        <f>IFERROR(--(tblHistory[[#This Row],[Score]]&gt;=50),0)</f>
        <v/>
      </c>
      <c r="W15" s="43">
        <f>IFERROR(--AND(tblHistory[[#This Row],[Score]]&gt;=60,tblHistory[[#This Row],[BIZD S]]&gt;=0.8,tblHistory[[#This Row],[BKLN S]]&gt;=0.5),0)</f>
        <v/>
      </c>
      <c r="X15" s="43">
        <f>IFERROR(--AND(tblHistory[[#This Row],[Score]]&gt;=70,tblHistory[[#This Row],[SOX S]]&gt;=0.83,tblHistory[[#This Row],[AIQ S]]&gt;=0.8),0)</f>
        <v/>
      </c>
      <c r="Y15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15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15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15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15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16">
      <c r="A16" s="39" t="n">
        <v>46294</v>
      </c>
      <c r="B16" s="40" t="n">
        <v>24795.33</v>
      </c>
      <c r="C16" s="40" t="n">
        <v>9285.190000000001</v>
      </c>
      <c r="D16" s="40" t="n">
        <v>43.82</v>
      </c>
      <c r="E16" s="40" t="n">
        <v>239.53</v>
      </c>
      <c r="F16" s="40" t="n">
        <v>41.86</v>
      </c>
      <c r="G16" s="40" t="n">
        <v>16.72</v>
      </c>
      <c r="H16" s="40" t="n">
        <v>21.02</v>
      </c>
      <c r="I16" s="41" t="n">
        <v>375</v>
      </c>
      <c r="J16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16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16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16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16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16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16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16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16" s="43">
        <f>(Dashboard!$C$13*tblHistory[[#This Row],[NDX S]]+Dashboard!$C$14*tblHistory[[#This Row],[SOX S]]+Dashboard!$C$15*tblHistory[[#This Row],[AIQ S]])/SUM(Dashboard!$C$13:$C$15)*100</f>
        <v/>
      </c>
      <c r="S16" s="43">
        <f>(Dashboard!$C$16*tblHistory[[#This Row],[ORCL S]]+Dashboard!$C$17*tblHistory[[#This Row],[CRWV S]])/SUM(Dashboard!$C$16:$C$17)*100</f>
        <v/>
      </c>
      <c r="T16" s="43">
        <f>(Dashboard!$C$18*tblHistory[[#This Row],[BIZD S]]+Dashboard!$C$19*tblHistory[[#This Row],[BKLN S]]+Dashboard!$C$20*tblHistory[[#This Row],[HY S]])/SUM(Dashboard!$C$18:$C$20)*100</f>
        <v/>
      </c>
      <c r="U16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16" s="43">
        <f>IFERROR(--(tblHistory[[#This Row],[Score]]&gt;=50),0)</f>
        <v/>
      </c>
      <c r="W16" s="43">
        <f>IFERROR(--AND(tblHistory[[#This Row],[Score]]&gt;=60,tblHistory[[#This Row],[BIZD S]]&gt;=0.8,tblHistory[[#This Row],[BKLN S]]&gt;=0.5),0)</f>
        <v/>
      </c>
      <c r="X16" s="43">
        <f>IFERROR(--AND(tblHistory[[#This Row],[Score]]&gt;=70,tblHistory[[#This Row],[SOX S]]&gt;=0.83,tblHistory[[#This Row],[AIQ S]]&gt;=0.8),0)</f>
        <v/>
      </c>
      <c r="Y16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16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16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16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16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17">
      <c r="A17" s="39" t="n">
        <v>46293</v>
      </c>
      <c r="B17" s="40" t="n">
        <v>25208.82</v>
      </c>
      <c r="C17" s="40" t="n">
        <v>9690.34</v>
      </c>
      <c r="D17" s="40" t="n">
        <v>44.61</v>
      </c>
      <c r="E17" s="40" t="n">
        <v>247.4</v>
      </c>
      <c r="F17" s="40" t="n">
        <v>43.12</v>
      </c>
      <c r="G17" s="40" t="n">
        <v>16.78</v>
      </c>
      <c r="H17" s="40" t="n">
        <v>20.97</v>
      </c>
      <c r="I17" s="41" t="n">
        <v>377</v>
      </c>
      <c r="J17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17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17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17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17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17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17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17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17" s="43">
        <f>(Dashboard!$C$13*tblHistory[[#This Row],[NDX S]]+Dashboard!$C$14*tblHistory[[#This Row],[SOX S]]+Dashboard!$C$15*tblHistory[[#This Row],[AIQ S]])/SUM(Dashboard!$C$13:$C$15)*100</f>
        <v/>
      </c>
      <c r="S17" s="43">
        <f>(Dashboard!$C$16*tblHistory[[#This Row],[ORCL S]]+Dashboard!$C$17*tblHistory[[#This Row],[CRWV S]])/SUM(Dashboard!$C$16:$C$17)*100</f>
        <v/>
      </c>
      <c r="T17" s="43">
        <f>(Dashboard!$C$18*tblHistory[[#This Row],[BIZD S]]+Dashboard!$C$19*tblHistory[[#This Row],[BKLN S]]+Dashboard!$C$20*tblHistory[[#This Row],[HY S]])/SUM(Dashboard!$C$18:$C$20)*100</f>
        <v/>
      </c>
      <c r="U17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17" s="43">
        <f>IFERROR(--(tblHistory[[#This Row],[Score]]&gt;=50),0)</f>
        <v/>
      </c>
      <c r="W17" s="43">
        <f>IFERROR(--AND(tblHistory[[#This Row],[Score]]&gt;=60,tblHistory[[#This Row],[BIZD S]]&gt;=0.8,tblHistory[[#This Row],[BKLN S]]&gt;=0.5),0)</f>
        <v/>
      </c>
      <c r="X17" s="43">
        <f>IFERROR(--AND(tblHistory[[#This Row],[Score]]&gt;=70,tblHistory[[#This Row],[SOX S]]&gt;=0.83,tblHistory[[#This Row],[AIQ S]]&gt;=0.8),0)</f>
        <v/>
      </c>
      <c r="Y17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17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17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17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17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18">
      <c r="A18" s="39" t="n">
        <v>46290</v>
      </c>
      <c r="B18" s="40" t="n">
        <v>25515.2</v>
      </c>
      <c r="C18" s="40" t="n">
        <v>9920.51</v>
      </c>
      <c r="D18" s="40" t="n">
        <v>45.24</v>
      </c>
      <c r="E18" s="40" t="n">
        <v>249.45</v>
      </c>
      <c r="F18" s="40" t="n">
        <v>46.77</v>
      </c>
      <c r="G18" s="40" t="n">
        <v>16.79</v>
      </c>
      <c r="H18" s="40" t="n">
        <v>20.91</v>
      </c>
      <c r="I18" s="41" t="n">
        <v>372</v>
      </c>
      <c r="J18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18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18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18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18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18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18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18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18" s="43">
        <f>(Dashboard!$C$13*tblHistory[[#This Row],[NDX S]]+Dashboard!$C$14*tblHistory[[#This Row],[SOX S]]+Dashboard!$C$15*tblHistory[[#This Row],[AIQ S]])/SUM(Dashboard!$C$13:$C$15)*100</f>
        <v/>
      </c>
      <c r="S18" s="43">
        <f>(Dashboard!$C$16*tblHistory[[#This Row],[ORCL S]]+Dashboard!$C$17*tblHistory[[#This Row],[CRWV S]])/SUM(Dashboard!$C$16:$C$17)*100</f>
        <v/>
      </c>
      <c r="T18" s="43">
        <f>(Dashboard!$C$18*tblHistory[[#This Row],[BIZD S]]+Dashboard!$C$19*tblHistory[[#This Row],[BKLN S]]+Dashboard!$C$20*tblHistory[[#This Row],[HY S]])/SUM(Dashboard!$C$18:$C$20)*100</f>
        <v/>
      </c>
      <c r="U18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18" s="43">
        <f>IFERROR(--(tblHistory[[#This Row],[Score]]&gt;=50),0)</f>
        <v/>
      </c>
      <c r="W18" s="43">
        <f>IFERROR(--AND(tblHistory[[#This Row],[Score]]&gt;=60,tblHistory[[#This Row],[BIZD S]]&gt;=0.8,tblHistory[[#This Row],[BKLN S]]&gt;=0.5),0)</f>
        <v/>
      </c>
      <c r="X18" s="43">
        <f>IFERROR(--AND(tblHistory[[#This Row],[Score]]&gt;=70,tblHistory[[#This Row],[SOX S]]&gt;=0.83,tblHistory[[#This Row],[AIQ S]]&gt;=0.8),0)</f>
        <v/>
      </c>
      <c r="Y18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18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18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18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18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19">
      <c r="A19" s="39" t="n">
        <v>46289</v>
      </c>
      <c r="B19" s="40" t="n">
        <v>25711.74</v>
      </c>
      <c r="C19" s="40" t="n">
        <v>9611.639999999999</v>
      </c>
      <c r="D19" s="40" t="n">
        <v>44.75</v>
      </c>
      <c r="E19" s="40" t="n">
        <v>260.29</v>
      </c>
      <c r="F19" s="40" t="n">
        <v>45.87</v>
      </c>
      <c r="G19" s="40" t="n">
        <v>17.01</v>
      </c>
      <c r="H19" s="40" t="n">
        <v>20.99</v>
      </c>
      <c r="I19" s="41" t="n">
        <v>370</v>
      </c>
      <c r="J19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19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19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19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19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19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19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19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19" s="43">
        <f>(Dashboard!$C$13*tblHistory[[#This Row],[NDX S]]+Dashboard!$C$14*tblHistory[[#This Row],[SOX S]]+Dashboard!$C$15*tblHistory[[#This Row],[AIQ S]])/SUM(Dashboard!$C$13:$C$15)*100</f>
        <v/>
      </c>
      <c r="S19" s="43">
        <f>(Dashboard!$C$16*tblHistory[[#This Row],[ORCL S]]+Dashboard!$C$17*tblHistory[[#This Row],[CRWV S]])/SUM(Dashboard!$C$16:$C$17)*100</f>
        <v/>
      </c>
      <c r="T19" s="43">
        <f>(Dashboard!$C$18*tblHistory[[#This Row],[BIZD S]]+Dashboard!$C$19*tblHistory[[#This Row],[BKLN S]]+Dashboard!$C$20*tblHistory[[#This Row],[HY S]])/SUM(Dashboard!$C$18:$C$20)*100</f>
        <v/>
      </c>
      <c r="U19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19" s="43">
        <f>IFERROR(--(tblHistory[[#This Row],[Score]]&gt;=50),0)</f>
        <v/>
      </c>
      <c r="W19" s="43">
        <f>IFERROR(--AND(tblHistory[[#This Row],[Score]]&gt;=60,tblHistory[[#This Row],[BIZD S]]&gt;=0.8,tblHistory[[#This Row],[BKLN S]]&gt;=0.5),0)</f>
        <v/>
      </c>
      <c r="X19" s="43">
        <f>IFERROR(--AND(tblHistory[[#This Row],[Score]]&gt;=70,tblHistory[[#This Row],[SOX S]]&gt;=0.83,tblHistory[[#This Row],[AIQ S]]&gt;=0.8),0)</f>
        <v/>
      </c>
      <c r="Y19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19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19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19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19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20">
      <c r="A20" s="39" t="n">
        <v>46288</v>
      </c>
      <c r="B20" s="40" t="n">
        <v>26216.69</v>
      </c>
      <c r="C20" s="40" t="n">
        <v>9445.889999999999</v>
      </c>
      <c r="D20" s="40" t="n">
        <v>45.82</v>
      </c>
      <c r="E20" s="40" t="n">
        <v>263.43</v>
      </c>
      <c r="F20" s="40" t="n">
        <v>43.52</v>
      </c>
      <c r="G20" s="40" t="n">
        <v>16.94</v>
      </c>
      <c r="H20" s="40" t="n">
        <v>21.03</v>
      </c>
      <c r="I20" s="41" t="n">
        <v>375</v>
      </c>
      <c r="J20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20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20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20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20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20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20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20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20" s="43">
        <f>(Dashboard!$C$13*tblHistory[[#This Row],[NDX S]]+Dashboard!$C$14*tblHistory[[#This Row],[SOX S]]+Dashboard!$C$15*tblHistory[[#This Row],[AIQ S]])/SUM(Dashboard!$C$13:$C$15)*100</f>
        <v/>
      </c>
      <c r="S20" s="43">
        <f>(Dashboard!$C$16*tblHistory[[#This Row],[ORCL S]]+Dashboard!$C$17*tblHistory[[#This Row],[CRWV S]])/SUM(Dashboard!$C$16:$C$17)*100</f>
        <v/>
      </c>
      <c r="T20" s="43">
        <f>(Dashboard!$C$18*tblHistory[[#This Row],[BIZD S]]+Dashboard!$C$19*tblHistory[[#This Row],[BKLN S]]+Dashboard!$C$20*tblHistory[[#This Row],[HY S]])/SUM(Dashboard!$C$18:$C$20)*100</f>
        <v/>
      </c>
      <c r="U20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20" s="43">
        <f>IFERROR(--(tblHistory[[#This Row],[Score]]&gt;=50),0)</f>
        <v/>
      </c>
      <c r="W20" s="43">
        <f>IFERROR(--AND(tblHistory[[#This Row],[Score]]&gt;=60,tblHistory[[#This Row],[BIZD S]]&gt;=0.8,tblHistory[[#This Row],[BKLN S]]&gt;=0.5),0)</f>
        <v/>
      </c>
      <c r="X20" s="43">
        <f>IFERROR(--AND(tblHistory[[#This Row],[Score]]&gt;=70,tblHistory[[#This Row],[SOX S]]&gt;=0.83,tblHistory[[#This Row],[AIQ S]]&gt;=0.8),0)</f>
        <v/>
      </c>
      <c r="Y20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20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20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20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20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21">
      <c r="A21" s="39" t="n">
        <v>46287</v>
      </c>
      <c r="B21" s="40" t="n">
        <v>26529.65</v>
      </c>
      <c r="C21" s="40" t="n">
        <v>9478.52</v>
      </c>
      <c r="D21" s="40" t="n">
        <v>46.6</v>
      </c>
      <c r="E21" s="40" t="n">
        <v>271.83</v>
      </c>
      <c r="F21" s="40" t="n">
        <v>42.56</v>
      </c>
      <c r="G21" s="40" t="n">
        <v>16.93</v>
      </c>
      <c r="H21" s="40" t="n">
        <v>21.01</v>
      </c>
      <c r="I21" s="41" t="n">
        <v>377</v>
      </c>
      <c r="J21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21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21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21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21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21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21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21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21" s="43">
        <f>(Dashboard!$C$13*tblHistory[[#This Row],[NDX S]]+Dashboard!$C$14*tblHistory[[#This Row],[SOX S]]+Dashboard!$C$15*tblHistory[[#This Row],[AIQ S]])/SUM(Dashboard!$C$13:$C$15)*100</f>
        <v/>
      </c>
      <c r="S21" s="43">
        <f>(Dashboard!$C$16*tblHistory[[#This Row],[ORCL S]]+Dashboard!$C$17*tblHistory[[#This Row],[CRWV S]])/SUM(Dashboard!$C$16:$C$17)*100</f>
        <v/>
      </c>
      <c r="T21" s="43">
        <f>(Dashboard!$C$18*tblHistory[[#This Row],[BIZD S]]+Dashboard!$C$19*tblHistory[[#This Row],[BKLN S]]+Dashboard!$C$20*tblHistory[[#This Row],[HY S]])/SUM(Dashboard!$C$18:$C$20)*100</f>
        <v/>
      </c>
      <c r="U21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21" s="43">
        <f>IFERROR(--(tblHistory[[#This Row],[Score]]&gt;=50),0)</f>
        <v/>
      </c>
      <c r="W21" s="43">
        <f>IFERROR(--AND(tblHistory[[#This Row],[Score]]&gt;=60,tblHistory[[#This Row],[BIZD S]]&gt;=0.8,tblHistory[[#This Row],[BKLN S]]&gt;=0.5),0)</f>
        <v/>
      </c>
      <c r="X21" s="43">
        <f>IFERROR(--AND(tblHistory[[#This Row],[Score]]&gt;=70,tblHistory[[#This Row],[SOX S]]&gt;=0.83,tblHistory[[#This Row],[AIQ S]]&gt;=0.8),0)</f>
        <v/>
      </c>
      <c r="Y21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21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21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21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21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22">
      <c r="A22" s="39" t="n">
        <v>46286</v>
      </c>
      <c r="B22" s="40" t="n">
        <v>26520.73</v>
      </c>
      <c r="C22" s="40" t="n">
        <v>9426.389999999999</v>
      </c>
      <c r="D22" s="40" t="n">
        <v>47.2</v>
      </c>
      <c r="E22" s="40" t="n">
        <v>271.61</v>
      </c>
      <c r="F22" s="40" t="n">
        <v>47.1</v>
      </c>
      <c r="G22" s="40" t="n">
        <v>16.95</v>
      </c>
      <c r="H22" s="40" t="n">
        <v>21.03</v>
      </c>
      <c r="I22" s="41" t="n">
        <v>380</v>
      </c>
      <c r="J22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22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22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22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22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22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22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22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22" s="43">
        <f>(Dashboard!$C$13*tblHistory[[#This Row],[NDX S]]+Dashboard!$C$14*tblHistory[[#This Row],[SOX S]]+Dashboard!$C$15*tblHistory[[#This Row],[AIQ S]])/SUM(Dashboard!$C$13:$C$15)*100</f>
        <v/>
      </c>
      <c r="S22" s="43">
        <f>(Dashboard!$C$16*tblHistory[[#This Row],[ORCL S]]+Dashboard!$C$17*tblHistory[[#This Row],[CRWV S]])/SUM(Dashboard!$C$16:$C$17)*100</f>
        <v/>
      </c>
      <c r="T22" s="43">
        <f>(Dashboard!$C$18*tblHistory[[#This Row],[BIZD S]]+Dashboard!$C$19*tblHistory[[#This Row],[BKLN S]]+Dashboard!$C$20*tblHistory[[#This Row],[HY S]])/SUM(Dashboard!$C$18:$C$20)*100</f>
        <v/>
      </c>
      <c r="U22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22" s="43">
        <f>IFERROR(--(tblHistory[[#This Row],[Score]]&gt;=50),0)</f>
        <v/>
      </c>
      <c r="W22" s="43">
        <f>IFERROR(--AND(tblHistory[[#This Row],[Score]]&gt;=60,tblHistory[[#This Row],[BIZD S]]&gt;=0.8,tblHistory[[#This Row],[BKLN S]]&gt;=0.5),0)</f>
        <v/>
      </c>
      <c r="X22" s="43">
        <f>IFERROR(--AND(tblHistory[[#This Row],[Score]]&gt;=70,tblHistory[[#This Row],[SOX S]]&gt;=0.83,tblHistory[[#This Row],[AIQ S]]&gt;=0.8),0)</f>
        <v/>
      </c>
      <c r="Y22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22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22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22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22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23">
      <c r="A23" s="39" t="n">
        <v>46283</v>
      </c>
      <c r="B23" s="40" t="n">
        <v>26372.16</v>
      </c>
      <c r="C23" s="40" t="n">
        <v>9491.09</v>
      </c>
      <c r="D23" s="40" t="n">
        <v>46.67</v>
      </c>
      <c r="E23" s="40" t="n">
        <v>281.47</v>
      </c>
      <c r="F23" s="40" t="n">
        <v>45.17</v>
      </c>
      <c r="G23" s="40" t="n">
        <v>16.94</v>
      </c>
      <c r="H23" s="40" t="n">
        <v>21.11</v>
      </c>
      <c r="I23" s="41" t="n">
        <v>370</v>
      </c>
      <c r="J23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23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23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23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23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23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23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23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23" s="43">
        <f>(Dashboard!$C$13*tblHistory[[#This Row],[NDX S]]+Dashboard!$C$14*tblHistory[[#This Row],[SOX S]]+Dashboard!$C$15*tblHistory[[#This Row],[AIQ S]])/SUM(Dashboard!$C$13:$C$15)*100</f>
        <v/>
      </c>
      <c r="S23" s="43">
        <f>(Dashboard!$C$16*tblHistory[[#This Row],[ORCL S]]+Dashboard!$C$17*tblHistory[[#This Row],[CRWV S]])/SUM(Dashboard!$C$16:$C$17)*100</f>
        <v/>
      </c>
      <c r="T23" s="43">
        <f>(Dashboard!$C$18*tblHistory[[#This Row],[BIZD S]]+Dashboard!$C$19*tblHistory[[#This Row],[BKLN S]]+Dashboard!$C$20*tblHistory[[#This Row],[HY S]])/SUM(Dashboard!$C$18:$C$20)*100</f>
        <v/>
      </c>
      <c r="U23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23" s="43">
        <f>IFERROR(--(tblHistory[[#This Row],[Score]]&gt;=50),0)</f>
        <v/>
      </c>
      <c r="W23" s="43">
        <f>IFERROR(--AND(tblHistory[[#This Row],[Score]]&gt;=60,tblHistory[[#This Row],[BIZD S]]&gt;=0.8,tblHistory[[#This Row],[BKLN S]]&gt;=0.5),0)</f>
        <v/>
      </c>
      <c r="X23" s="43">
        <f>IFERROR(--AND(tblHistory[[#This Row],[Score]]&gt;=70,tblHistory[[#This Row],[SOX S]]&gt;=0.83,tblHistory[[#This Row],[AIQ S]]&gt;=0.8),0)</f>
        <v/>
      </c>
      <c r="Y23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23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23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23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23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24">
      <c r="A24" s="39" t="n">
        <v>46282</v>
      </c>
      <c r="B24" s="40" t="n">
        <v>26477.36</v>
      </c>
      <c r="C24" s="40" t="n">
        <v>9710.530000000001</v>
      </c>
      <c r="D24" s="40" t="n">
        <v>46.86</v>
      </c>
      <c r="E24" s="40" t="n">
        <v>292.56</v>
      </c>
      <c r="F24" s="40" t="n">
        <v>43.28</v>
      </c>
      <c r="G24" s="40" t="n">
        <v>17.05</v>
      </c>
      <c r="H24" s="40" t="n">
        <v>21.15</v>
      </c>
      <c r="I24" s="41" t="n">
        <v>360</v>
      </c>
      <c r="J24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24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24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24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24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24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24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24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24" s="43">
        <f>(Dashboard!$C$13*tblHistory[[#This Row],[NDX S]]+Dashboard!$C$14*tblHistory[[#This Row],[SOX S]]+Dashboard!$C$15*tblHistory[[#This Row],[AIQ S]])/SUM(Dashboard!$C$13:$C$15)*100</f>
        <v/>
      </c>
      <c r="S24" s="43">
        <f>(Dashboard!$C$16*tblHistory[[#This Row],[ORCL S]]+Dashboard!$C$17*tblHistory[[#This Row],[CRWV S]])/SUM(Dashboard!$C$16:$C$17)*100</f>
        <v/>
      </c>
      <c r="T24" s="43">
        <f>(Dashboard!$C$18*tblHistory[[#This Row],[BIZD S]]+Dashboard!$C$19*tblHistory[[#This Row],[BKLN S]]+Dashboard!$C$20*tblHistory[[#This Row],[HY S]])/SUM(Dashboard!$C$18:$C$20)*100</f>
        <v/>
      </c>
      <c r="U24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24" s="43">
        <f>IFERROR(--(tblHistory[[#This Row],[Score]]&gt;=50),0)</f>
        <v/>
      </c>
      <c r="W24" s="43">
        <f>IFERROR(--AND(tblHistory[[#This Row],[Score]]&gt;=60,tblHistory[[#This Row],[BIZD S]]&gt;=0.8,tblHistory[[#This Row],[BKLN S]]&gt;=0.5),0)</f>
        <v/>
      </c>
      <c r="X24" s="43">
        <f>IFERROR(--AND(tblHistory[[#This Row],[Score]]&gt;=70,tblHistory[[#This Row],[SOX S]]&gt;=0.83,tblHistory[[#This Row],[AIQ S]]&gt;=0.8),0)</f>
        <v/>
      </c>
      <c r="Y24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24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24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24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24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25">
      <c r="A25" s="39" t="n">
        <v>46281</v>
      </c>
      <c r="B25" s="40" t="n">
        <v>26608.14</v>
      </c>
      <c r="C25" s="40" t="n">
        <v>9631.98</v>
      </c>
      <c r="D25" s="40" t="n">
        <v>46.67</v>
      </c>
      <c r="E25" s="40" t="n">
        <v>288.39</v>
      </c>
      <c r="F25" s="40" t="n">
        <v>42.9</v>
      </c>
      <c r="G25" s="40" t="n">
        <v>16.93</v>
      </c>
      <c r="H25" s="40" t="n">
        <v>21.19</v>
      </c>
      <c r="I25" s="41" t="n">
        <v>349</v>
      </c>
      <c r="J25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25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25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25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25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25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25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25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25" s="43">
        <f>(Dashboard!$C$13*tblHistory[[#This Row],[NDX S]]+Dashboard!$C$14*tblHistory[[#This Row],[SOX S]]+Dashboard!$C$15*tblHistory[[#This Row],[AIQ S]])/SUM(Dashboard!$C$13:$C$15)*100</f>
        <v/>
      </c>
      <c r="S25" s="43">
        <f>(Dashboard!$C$16*tblHistory[[#This Row],[ORCL S]]+Dashboard!$C$17*tblHistory[[#This Row],[CRWV S]])/SUM(Dashboard!$C$16:$C$17)*100</f>
        <v/>
      </c>
      <c r="T25" s="43">
        <f>(Dashboard!$C$18*tblHistory[[#This Row],[BIZD S]]+Dashboard!$C$19*tblHistory[[#This Row],[BKLN S]]+Dashboard!$C$20*tblHistory[[#This Row],[HY S]])/SUM(Dashboard!$C$18:$C$20)*100</f>
        <v/>
      </c>
      <c r="U25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25" s="43">
        <f>IFERROR(--(tblHistory[[#This Row],[Score]]&gt;=50),0)</f>
        <v/>
      </c>
      <c r="W25" s="43">
        <f>IFERROR(--AND(tblHistory[[#This Row],[Score]]&gt;=60,tblHistory[[#This Row],[BIZD S]]&gt;=0.8,tblHistory[[#This Row],[BKLN S]]&gt;=0.5),0)</f>
        <v/>
      </c>
      <c r="X25" s="43">
        <f>IFERROR(--AND(tblHistory[[#This Row],[Score]]&gt;=70,tblHistory[[#This Row],[SOX S]]&gt;=0.83,tblHistory[[#This Row],[AIQ S]]&gt;=0.8),0)</f>
        <v/>
      </c>
      <c r="Y25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25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25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25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25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26">
      <c r="A26" s="39" t="n">
        <v>46280</v>
      </c>
      <c r="B26" s="40" t="n">
        <v>26967.39</v>
      </c>
      <c r="C26" s="40" t="n">
        <v>9654.84</v>
      </c>
      <c r="D26" s="40" t="n">
        <v>46.71</v>
      </c>
      <c r="E26" s="40" t="n">
        <v>296.48</v>
      </c>
      <c r="F26" s="40" t="n">
        <v>45.02</v>
      </c>
      <c r="G26" s="40" t="n">
        <v>16.98</v>
      </c>
      <c r="H26" s="40" t="n">
        <v>21.16</v>
      </c>
      <c r="I26" s="41" t="n">
        <v>356</v>
      </c>
      <c r="J26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26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26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26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26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26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26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26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26" s="43">
        <f>(Dashboard!$C$13*tblHistory[[#This Row],[NDX S]]+Dashboard!$C$14*tblHistory[[#This Row],[SOX S]]+Dashboard!$C$15*tblHistory[[#This Row],[AIQ S]])/SUM(Dashboard!$C$13:$C$15)*100</f>
        <v/>
      </c>
      <c r="S26" s="43">
        <f>(Dashboard!$C$16*tblHistory[[#This Row],[ORCL S]]+Dashboard!$C$17*tblHistory[[#This Row],[CRWV S]])/SUM(Dashboard!$C$16:$C$17)*100</f>
        <v/>
      </c>
      <c r="T26" s="43">
        <f>(Dashboard!$C$18*tblHistory[[#This Row],[BIZD S]]+Dashboard!$C$19*tblHistory[[#This Row],[BKLN S]]+Dashboard!$C$20*tblHistory[[#This Row],[HY S]])/SUM(Dashboard!$C$18:$C$20)*100</f>
        <v/>
      </c>
      <c r="U26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26" s="43">
        <f>IFERROR(--(tblHistory[[#This Row],[Score]]&gt;=50),0)</f>
        <v/>
      </c>
      <c r="W26" s="43">
        <f>IFERROR(--AND(tblHistory[[#This Row],[Score]]&gt;=60,tblHistory[[#This Row],[BIZD S]]&gt;=0.8,tblHistory[[#This Row],[BKLN S]]&gt;=0.5),0)</f>
        <v/>
      </c>
      <c r="X26" s="43">
        <f>IFERROR(--AND(tblHistory[[#This Row],[Score]]&gt;=70,tblHistory[[#This Row],[SOX S]]&gt;=0.83,tblHistory[[#This Row],[AIQ S]]&gt;=0.8),0)</f>
        <v/>
      </c>
      <c r="Y26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26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26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26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26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27">
      <c r="A27" s="39" t="n">
        <v>46279</v>
      </c>
      <c r="B27" s="40" t="n">
        <v>27065.5</v>
      </c>
      <c r="C27" s="40" t="n">
        <v>9720.780000000001</v>
      </c>
      <c r="D27" s="40" t="n">
        <v>46.43</v>
      </c>
      <c r="E27" s="40" t="n">
        <v>294.9</v>
      </c>
      <c r="F27" s="40" t="n">
        <v>44.85</v>
      </c>
      <c r="G27" s="40" t="n">
        <v>17.19</v>
      </c>
      <c r="H27" s="40" t="n">
        <v>21.22</v>
      </c>
      <c r="I27" s="41" t="n">
        <v>349</v>
      </c>
      <c r="J27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27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27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27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27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27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27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27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27" s="43">
        <f>(Dashboard!$C$13*tblHistory[[#This Row],[NDX S]]+Dashboard!$C$14*tblHistory[[#This Row],[SOX S]]+Dashboard!$C$15*tblHistory[[#This Row],[AIQ S]])/SUM(Dashboard!$C$13:$C$15)*100</f>
        <v/>
      </c>
      <c r="S27" s="43">
        <f>(Dashboard!$C$16*tblHistory[[#This Row],[ORCL S]]+Dashboard!$C$17*tblHistory[[#This Row],[CRWV S]])/SUM(Dashboard!$C$16:$C$17)*100</f>
        <v/>
      </c>
      <c r="T27" s="43">
        <f>(Dashboard!$C$18*tblHistory[[#This Row],[BIZD S]]+Dashboard!$C$19*tblHistory[[#This Row],[BKLN S]]+Dashboard!$C$20*tblHistory[[#This Row],[HY S]])/SUM(Dashboard!$C$18:$C$20)*100</f>
        <v/>
      </c>
      <c r="U27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27" s="43">
        <f>IFERROR(--(tblHistory[[#This Row],[Score]]&gt;=50),0)</f>
        <v/>
      </c>
      <c r="W27" s="43">
        <f>IFERROR(--AND(tblHistory[[#This Row],[Score]]&gt;=60,tblHistory[[#This Row],[BIZD S]]&gt;=0.8,tblHistory[[#This Row],[BKLN S]]&gt;=0.5),0)</f>
        <v/>
      </c>
      <c r="X27" s="43">
        <f>IFERROR(--AND(tblHistory[[#This Row],[Score]]&gt;=70,tblHistory[[#This Row],[SOX S]]&gt;=0.83,tblHistory[[#This Row],[AIQ S]]&gt;=0.8),0)</f>
        <v/>
      </c>
      <c r="Y27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27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27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27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27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28">
      <c r="A28" s="39" t="n">
        <v>46276</v>
      </c>
      <c r="B28" s="40" t="n">
        <v>26953.49</v>
      </c>
      <c r="C28" s="40" t="n">
        <v>10207.95</v>
      </c>
      <c r="D28" s="40" t="n">
        <v>47.14</v>
      </c>
      <c r="E28" s="40" t="n">
        <v>294.73</v>
      </c>
      <c r="F28" s="40" t="n">
        <v>44.98</v>
      </c>
      <c r="G28" s="40" t="n">
        <v>17.45</v>
      </c>
      <c r="H28" s="40" t="n">
        <v>21.2</v>
      </c>
      <c r="I28" s="41" t="n">
        <v>343</v>
      </c>
      <c r="J28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28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28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28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28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28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28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28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28" s="43">
        <f>(Dashboard!$C$13*tblHistory[[#This Row],[NDX S]]+Dashboard!$C$14*tblHistory[[#This Row],[SOX S]]+Dashboard!$C$15*tblHistory[[#This Row],[AIQ S]])/SUM(Dashboard!$C$13:$C$15)*100</f>
        <v/>
      </c>
      <c r="S28" s="43">
        <f>(Dashboard!$C$16*tblHistory[[#This Row],[ORCL S]]+Dashboard!$C$17*tblHistory[[#This Row],[CRWV S]])/SUM(Dashboard!$C$16:$C$17)*100</f>
        <v/>
      </c>
      <c r="T28" s="43">
        <f>(Dashboard!$C$18*tblHistory[[#This Row],[BIZD S]]+Dashboard!$C$19*tblHistory[[#This Row],[BKLN S]]+Dashboard!$C$20*tblHistory[[#This Row],[HY S]])/SUM(Dashboard!$C$18:$C$20)*100</f>
        <v/>
      </c>
      <c r="U28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28" s="43">
        <f>IFERROR(--(tblHistory[[#This Row],[Score]]&gt;=50),0)</f>
        <v/>
      </c>
      <c r="W28" s="43">
        <f>IFERROR(--AND(tblHistory[[#This Row],[Score]]&gt;=60,tblHistory[[#This Row],[BIZD S]]&gt;=0.8,tblHistory[[#This Row],[BKLN S]]&gt;=0.5),0)</f>
        <v/>
      </c>
      <c r="X28" s="43">
        <f>IFERROR(--AND(tblHistory[[#This Row],[Score]]&gt;=70,tblHistory[[#This Row],[SOX S]]&gt;=0.83,tblHistory[[#This Row],[AIQ S]]&gt;=0.8),0)</f>
        <v/>
      </c>
      <c r="Y28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28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28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28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28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29">
      <c r="A29" s="39" t="n">
        <v>46275</v>
      </c>
      <c r="B29" s="40" t="n">
        <v>26890.96</v>
      </c>
      <c r="C29" s="40" t="n">
        <v>10371.58</v>
      </c>
      <c r="D29" s="40" t="n">
        <v>46.76</v>
      </c>
      <c r="E29" s="40" t="n">
        <v>300.06</v>
      </c>
      <c r="F29" s="40" t="n">
        <v>42.35</v>
      </c>
      <c r="G29" s="40" t="n">
        <v>17.5</v>
      </c>
      <c r="H29" s="40" t="n">
        <v>21.31</v>
      </c>
      <c r="I29" s="41" t="n">
        <v>333</v>
      </c>
      <c r="J29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29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29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29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29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29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29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29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29" s="43">
        <f>(Dashboard!$C$13*tblHistory[[#This Row],[NDX S]]+Dashboard!$C$14*tblHistory[[#This Row],[SOX S]]+Dashboard!$C$15*tblHistory[[#This Row],[AIQ S]])/SUM(Dashboard!$C$13:$C$15)*100</f>
        <v/>
      </c>
      <c r="S29" s="43">
        <f>(Dashboard!$C$16*tblHistory[[#This Row],[ORCL S]]+Dashboard!$C$17*tblHistory[[#This Row],[CRWV S]])/SUM(Dashboard!$C$16:$C$17)*100</f>
        <v/>
      </c>
      <c r="T29" s="43">
        <f>(Dashboard!$C$18*tblHistory[[#This Row],[BIZD S]]+Dashboard!$C$19*tblHistory[[#This Row],[BKLN S]]+Dashboard!$C$20*tblHistory[[#This Row],[HY S]])/SUM(Dashboard!$C$18:$C$20)*100</f>
        <v/>
      </c>
      <c r="U29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29" s="43">
        <f>IFERROR(--(tblHistory[[#This Row],[Score]]&gt;=50),0)</f>
        <v/>
      </c>
      <c r="W29" s="43">
        <f>IFERROR(--AND(tblHistory[[#This Row],[Score]]&gt;=60,tblHistory[[#This Row],[BIZD S]]&gt;=0.8,tblHistory[[#This Row],[BKLN S]]&gt;=0.5),0)</f>
        <v/>
      </c>
      <c r="X29" s="43">
        <f>IFERROR(--AND(tblHistory[[#This Row],[Score]]&gt;=70,tblHistory[[#This Row],[SOX S]]&gt;=0.83,tblHistory[[#This Row],[AIQ S]]&gt;=0.8),0)</f>
        <v/>
      </c>
      <c r="Y29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29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29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29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29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30">
      <c r="A30" s="39" t="n">
        <v>46274</v>
      </c>
      <c r="B30" s="40" t="n">
        <v>27078.83</v>
      </c>
      <c r="C30" s="40" t="n">
        <v>10392.06</v>
      </c>
      <c r="D30" s="40" t="n">
        <v>46.73</v>
      </c>
      <c r="E30" s="40" t="n">
        <v>293.51</v>
      </c>
      <c r="F30" s="40" t="n">
        <v>42.01</v>
      </c>
      <c r="G30" s="40" t="n">
        <v>17.53</v>
      </c>
      <c r="H30" s="40" t="n">
        <v>21.3</v>
      </c>
      <c r="I30" s="41" t="n">
        <v>331</v>
      </c>
      <c r="J30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30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30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30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30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30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30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30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30" s="43">
        <f>(Dashboard!$C$13*tblHistory[[#This Row],[NDX S]]+Dashboard!$C$14*tblHistory[[#This Row],[SOX S]]+Dashboard!$C$15*tblHistory[[#This Row],[AIQ S]])/SUM(Dashboard!$C$13:$C$15)*100</f>
        <v/>
      </c>
      <c r="S30" s="43">
        <f>(Dashboard!$C$16*tblHistory[[#This Row],[ORCL S]]+Dashboard!$C$17*tblHistory[[#This Row],[CRWV S]])/SUM(Dashboard!$C$16:$C$17)*100</f>
        <v/>
      </c>
      <c r="T30" s="43">
        <f>(Dashboard!$C$18*tblHistory[[#This Row],[BIZD S]]+Dashboard!$C$19*tblHistory[[#This Row],[BKLN S]]+Dashboard!$C$20*tblHistory[[#This Row],[HY S]])/SUM(Dashboard!$C$18:$C$20)*100</f>
        <v/>
      </c>
      <c r="U30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30" s="43">
        <f>IFERROR(--(tblHistory[[#This Row],[Score]]&gt;=50),0)</f>
        <v/>
      </c>
      <c r="W30" s="43">
        <f>IFERROR(--AND(tblHistory[[#This Row],[Score]]&gt;=60,tblHistory[[#This Row],[BIZD S]]&gt;=0.8,tblHistory[[#This Row],[BKLN S]]&gt;=0.5),0)</f>
        <v/>
      </c>
      <c r="X30" s="43">
        <f>IFERROR(--AND(tblHistory[[#This Row],[Score]]&gt;=70,tblHistory[[#This Row],[SOX S]]&gt;=0.83,tblHistory[[#This Row],[AIQ S]]&gt;=0.8),0)</f>
        <v/>
      </c>
      <c r="Y30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30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30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30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30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31">
      <c r="A31" s="39" t="n">
        <v>46273</v>
      </c>
      <c r="B31" s="40" t="n">
        <v>27247.31</v>
      </c>
      <c r="C31" s="40" t="n">
        <v>10553.69</v>
      </c>
      <c r="D31" s="40" t="n">
        <v>45.99</v>
      </c>
      <c r="E31" s="40" t="n">
        <v>293.68</v>
      </c>
      <c r="F31" s="40" t="n">
        <v>42.67</v>
      </c>
      <c r="G31" s="40" t="n">
        <v>17.54</v>
      </c>
      <c r="H31" s="40" t="n">
        <v>21.27</v>
      </c>
      <c r="I31" s="41" t="n">
        <v>330</v>
      </c>
      <c r="J31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31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31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31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31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31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31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31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31" s="43">
        <f>(Dashboard!$C$13*tblHistory[[#This Row],[NDX S]]+Dashboard!$C$14*tblHistory[[#This Row],[SOX S]]+Dashboard!$C$15*tblHistory[[#This Row],[AIQ S]])/SUM(Dashboard!$C$13:$C$15)*100</f>
        <v/>
      </c>
      <c r="S31" s="43">
        <f>(Dashboard!$C$16*tblHistory[[#This Row],[ORCL S]]+Dashboard!$C$17*tblHistory[[#This Row],[CRWV S]])/SUM(Dashboard!$C$16:$C$17)*100</f>
        <v/>
      </c>
      <c r="T31" s="43">
        <f>(Dashboard!$C$18*tblHistory[[#This Row],[BIZD S]]+Dashboard!$C$19*tblHistory[[#This Row],[BKLN S]]+Dashboard!$C$20*tblHistory[[#This Row],[HY S]])/SUM(Dashboard!$C$18:$C$20)*100</f>
        <v/>
      </c>
      <c r="U31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31" s="43">
        <f>IFERROR(--(tblHistory[[#This Row],[Score]]&gt;=50),0)</f>
        <v/>
      </c>
      <c r="W31" s="43">
        <f>IFERROR(--AND(tblHistory[[#This Row],[Score]]&gt;=60,tblHistory[[#This Row],[BIZD S]]&gt;=0.8,tblHistory[[#This Row],[BKLN S]]&gt;=0.5),0)</f>
        <v/>
      </c>
      <c r="X31" s="43">
        <f>IFERROR(--AND(tblHistory[[#This Row],[Score]]&gt;=70,tblHistory[[#This Row],[SOX S]]&gt;=0.83,tblHistory[[#This Row],[AIQ S]]&gt;=0.8),0)</f>
        <v/>
      </c>
      <c r="Y31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31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31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31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31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32">
      <c r="A32" s="39" t="n">
        <v>46272</v>
      </c>
      <c r="B32" s="40" t="n">
        <v>27790.13</v>
      </c>
      <c r="C32" s="40" t="n">
        <v>10491.42</v>
      </c>
      <c r="D32" s="40" t="n">
        <v>46.99</v>
      </c>
      <c r="E32" s="40" t="n">
        <v>293.27</v>
      </c>
      <c r="F32" s="40" t="n">
        <v>44.61</v>
      </c>
      <c r="G32" s="40" t="n">
        <v>17.65</v>
      </c>
      <c r="H32" s="40" t="n">
        <v>21.32</v>
      </c>
      <c r="I32" s="41" t="n">
        <v>317</v>
      </c>
      <c r="J32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32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32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32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32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32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32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32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32" s="43">
        <f>(Dashboard!$C$13*tblHistory[[#This Row],[NDX S]]+Dashboard!$C$14*tblHistory[[#This Row],[SOX S]]+Dashboard!$C$15*tblHistory[[#This Row],[AIQ S]])/SUM(Dashboard!$C$13:$C$15)*100</f>
        <v/>
      </c>
      <c r="S32" s="43">
        <f>(Dashboard!$C$16*tblHistory[[#This Row],[ORCL S]]+Dashboard!$C$17*tblHistory[[#This Row],[CRWV S]])/SUM(Dashboard!$C$16:$C$17)*100</f>
        <v/>
      </c>
      <c r="T32" s="43">
        <f>(Dashboard!$C$18*tblHistory[[#This Row],[BIZD S]]+Dashboard!$C$19*tblHistory[[#This Row],[BKLN S]]+Dashboard!$C$20*tblHistory[[#This Row],[HY S]])/SUM(Dashboard!$C$18:$C$20)*100</f>
        <v/>
      </c>
      <c r="U32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32" s="43">
        <f>IFERROR(--(tblHistory[[#This Row],[Score]]&gt;=50),0)</f>
        <v/>
      </c>
      <c r="W32" s="43">
        <f>IFERROR(--AND(tblHistory[[#This Row],[Score]]&gt;=60,tblHistory[[#This Row],[BIZD S]]&gt;=0.8,tblHistory[[#This Row],[BKLN S]]&gt;=0.5),0)</f>
        <v/>
      </c>
      <c r="X32" s="43">
        <f>IFERROR(--AND(tblHistory[[#This Row],[Score]]&gt;=70,tblHistory[[#This Row],[SOX S]]&gt;=0.83,tblHistory[[#This Row],[AIQ S]]&gt;=0.8),0)</f>
        <v/>
      </c>
      <c r="Y32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32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32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32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32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33">
      <c r="A33" s="39" t="n">
        <v>46269</v>
      </c>
      <c r="B33" s="40" t="n">
        <v>27829.8</v>
      </c>
      <c r="C33" s="40" t="n">
        <v>10675.31</v>
      </c>
      <c r="D33" s="40" t="n">
        <v>47.91</v>
      </c>
      <c r="E33" s="40" t="n">
        <v>292.57</v>
      </c>
      <c r="F33" s="40" t="n">
        <v>46.25</v>
      </c>
      <c r="G33" s="40" t="n">
        <v>17.61</v>
      </c>
      <c r="H33" s="40" t="n">
        <v>21.29</v>
      </c>
      <c r="I33" s="41" t="n">
        <v>319</v>
      </c>
      <c r="J33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33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33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33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33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33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33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33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33" s="43">
        <f>(Dashboard!$C$13*tblHistory[[#This Row],[NDX S]]+Dashboard!$C$14*tblHistory[[#This Row],[SOX S]]+Dashboard!$C$15*tblHistory[[#This Row],[AIQ S]])/SUM(Dashboard!$C$13:$C$15)*100</f>
        <v/>
      </c>
      <c r="S33" s="43">
        <f>(Dashboard!$C$16*tblHistory[[#This Row],[ORCL S]]+Dashboard!$C$17*tblHistory[[#This Row],[CRWV S]])/SUM(Dashboard!$C$16:$C$17)*100</f>
        <v/>
      </c>
      <c r="T33" s="43">
        <f>(Dashboard!$C$18*tblHistory[[#This Row],[BIZD S]]+Dashboard!$C$19*tblHistory[[#This Row],[BKLN S]]+Dashboard!$C$20*tblHistory[[#This Row],[HY S]])/SUM(Dashboard!$C$18:$C$20)*100</f>
        <v/>
      </c>
      <c r="U33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33" s="43">
        <f>IFERROR(--(tblHistory[[#This Row],[Score]]&gt;=50),0)</f>
        <v/>
      </c>
      <c r="W33" s="43">
        <f>IFERROR(--AND(tblHistory[[#This Row],[Score]]&gt;=60,tblHistory[[#This Row],[BIZD S]]&gt;=0.8,tblHistory[[#This Row],[BKLN S]]&gt;=0.5),0)</f>
        <v/>
      </c>
      <c r="X33" s="43">
        <f>IFERROR(--AND(tblHistory[[#This Row],[Score]]&gt;=70,tblHistory[[#This Row],[SOX S]]&gt;=0.83,tblHistory[[#This Row],[AIQ S]]&gt;=0.8),0)</f>
        <v/>
      </c>
      <c r="Y33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33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33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33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33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34">
      <c r="A34" s="39" t="n">
        <v>46268</v>
      </c>
      <c r="B34" s="40" t="n">
        <v>27852.12</v>
      </c>
      <c r="C34" s="40" t="n">
        <v>10737.17</v>
      </c>
      <c r="D34" s="40" t="n">
        <v>47.34</v>
      </c>
      <c r="E34" s="40" t="n">
        <v>304.5</v>
      </c>
      <c r="F34" s="40" t="n">
        <v>50.71</v>
      </c>
      <c r="G34" s="40" t="n">
        <v>17.75</v>
      </c>
      <c r="H34" s="40" t="n">
        <v>21.24</v>
      </c>
      <c r="I34" s="41" t="n">
        <v>317</v>
      </c>
      <c r="J34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34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34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34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34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34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34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34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34" s="43">
        <f>(Dashboard!$C$13*tblHistory[[#This Row],[NDX S]]+Dashboard!$C$14*tblHistory[[#This Row],[SOX S]]+Dashboard!$C$15*tblHistory[[#This Row],[AIQ S]])/SUM(Dashboard!$C$13:$C$15)*100</f>
        <v/>
      </c>
      <c r="S34" s="43">
        <f>(Dashboard!$C$16*tblHistory[[#This Row],[ORCL S]]+Dashboard!$C$17*tblHistory[[#This Row],[CRWV S]])/SUM(Dashboard!$C$16:$C$17)*100</f>
        <v/>
      </c>
      <c r="T34" s="43">
        <f>(Dashboard!$C$18*tblHistory[[#This Row],[BIZD S]]+Dashboard!$C$19*tblHistory[[#This Row],[BKLN S]]+Dashboard!$C$20*tblHistory[[#This Row],[HY S]])/SUM(Dashboard!$C$18:$C$20)*100</f>
        <v/>
      </c>
      <c r="U34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34" s="43">
        <f>IFERROR(--(tblHistory[[#This Row],[Score]]&gt;=50),0)</f>
        <v/>
      </c>
      <c r="W34" s="43">
        <f>IFERROR(--AND(tblHistory[[#This Row],[Score]]&gt;=60,tblHistory[[#This Row],[BIZD S]]&gt;=0.8,tblHistory[[#This Row],[BKLN S]]&gt;=0.5),0)</f>
        <v/>
      </c>
      <c r="X34" s="43">
        <f>IFERROR(--AND(tblHistory[[#This Row],[Score]]&gt;=70,tblHistory[[#This Row],[SOX S]]&gt;=0.83,tblHistory[[#This Row],[AIQ S]]&gt;=0.8),0)</f>
        <v/>
      </c>
      <c r="Y34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34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34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34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34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35">
      <c r="A35" s="39" t="n">
        <v>46267</v>
      </c>
      <c r="B35" s="40" t="n">
        <v>28450.17</v>
      </c>
      <c r="C35" s="40" t="n">
        <v>10727.98</v>
      </c>
      <c r="D35" s="40" t="n">
        <v>47.79</v>
      </c>
      <c r="E35" s="40" t="n">
        <v>305.14</v>
      </c>
      <c r="F35" s="40" t="n">
        <v>55.45</v>
      </c>
      <c r="G35" s="40" t="n">
        <v>17.64</v>
      </c>
      <c r="H35" s="40" t="n">
        <v>21.32</v>
      </c>
      <c r="I35" s="41" t="n">
        <v>319</v>
      </c>
      <c r="J35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35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35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35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35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35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35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35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35" s="43">
        <f>(Dashboard!$C$13*tblHistory[[#This Row],[NDX S]]+Dashboard!$C$14*tblHistory[[#This Row],[SOX S]]+Dashboard!$C$15*tblHistory[[#This Row],[AIQ S]])/SUM(Dashboard!$C$13:$C$15)*100</f>
        <v/>
      </c>
      <c r="S35" s="43">
        <f>(Dashboard!$C$16*tblHistory[[#This Row],[ORCL S]]+Dashboard!$C$17*tblHistory[[#This Row],[CRWV S]])/SUM(Dashboard!$C$16:$C$17)*100</f>
        <v/>
      </c>
      <c r="T35" s="43">
        <f>(Dashboard!$C$18*tblHistory[[#This Row],[BIZD S]]+Dashboard!$C$19*tblHistory[[#This Row],[BKLN S]]+Dashboard!$C$20*tblHistory[[#This Row],[HY S]])/SUM(Dashboard!$C$18:$C$20)*100</f>
        <v/>
      </c>
      <c r="U35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35" s="43">
        <f>IFERROR(--(tblHistory[[#This Row],[Score]]&gt;=50),0)</f>
        <v/>
      </c>
      <c r="W35" s="43">
        <f>IFERROR(--AND(tblHistory[[#This Row],[Score]]&gt;=60,tblHistory[[#This Row],[BIZD S]]&gt;=0.8,tblHistory[[#This Row],[BKLN S]]&gt;=0.5),0)</f>
        <v/>
      </c>
      <c r="X35" s="43">
        <f>IFERROR(--AND(tblHistory[[#This Row],[Score]]&gt;=70,tblHistory[[#This Row],[SOX S]]&gt;=0.83,tblHistory[[#This Row],[AIQ S]]&gt;=0.8),0)</f>
        <v/>
      </c>
      <c r="Y35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35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35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35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35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36">
      <c r="A36" s="39" t="n">
        <v>46266</v>
      </c>
      <c r="B36" s="40" t="n">
        <v>28528.45</v>
      </c>
      <c r="C36" s="40" t="n">
        <v>10621.48</v>
      </c>
      <c r="D36" s="40" t="n">
        <v>47.53</v>
      </c>
      <c r="E36" s="40" t="n">
        <v>302.5</v>
      </c>
      <c r="F36" s="40" t="n">
        <v>58.16</v>
      </c>
      <c r="G36" s="40" t="n">
        <v>17.98</v>
      </c>
      <c r="H36" s="40" t="n">
        <v>21.37</v>
      </c>
      <c r="I36" s="41" t="n">
        <v>312</v>
      </c>
      <c r="J36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36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36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36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36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36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36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36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36" s="43">
        <f>(Dashboard!$C$13*tblHistory[[#This Row],[NDX S]]+Dashboard!$C$14*tblHistory[[#This Row],[SOX S]]+Dashboard!$C$15*tblHistory[[#This Row],[AIQ S]])/SUM(Dashboard!$C$13:$C$15)*100</f>
        <v/>
      </c>
      <c r="S36" s="43">
        <f>(Dashboard!$C$16*tblHistory[[#This Row],[ORCL S]]+Dashboard!$C$17*tblHistory[[#This Row],[CRWV S]])/SUM(Dashboard!$C$16:$C$17)*100</f>
        <v/>
      </c>
      <c r="T36" s="43">
        <f>(Dashboard!$C$18*tblHistory[[#This Row],[BIZD S]]+Dashboard!$C$19*tblHistory[[#This Row],[BKLN S]]+Dashboard!$C$20*tblHistory[[#This Row],[HY S]])/SUM(Dashboard!$C$18:$C$20)*100</f>
        <v/>
      </c>
      <c r="U36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36" s="43">
        <f>IFERROR(--(tblHistory[[#This Row],[Score]]&gt;=50),0)</f>
        <v/>
      </c>
      <c r="W36" s="43">
        <f>IFERROR(--AND(tblHistory[[#This Row],[Score]]&gt;=60,tblHistory[[#This Row],[BIZD S]]&gt;=0.8,tblHistory[[#This Row],[BKLN S]]&gt;=0.5),0)</f>
        <v/>
      </c>
      <c r="X36" s="43">
        <f>IFERROR(--AND(tblHistory[[#This Row],[Score]]&gt;=70,tblHistory[[#This Row],[SOX S]]&gt;=0.83,tblHistory[[#This Row],[AIQ S]]&gt;=0.8),0)</f>
        <v/>
      </c>
      <c r="Y36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36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36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36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36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37">
      <c r="A37" s="39" t="n">
        <v>46265</v>
      </c>
      <c r="B37" s="40" t="n">
        <v>28958.78</v>
      </c>
      <c r="C37" s="40" t="n">
        <v>11152.97</v>
      </c>
      <c r="D37" s="40" t="n">
        <v>48</v>
      </c>
      <c r="E37" s="40" t="n">
        <v>310.23</v>
      </c>
      <c r="F37" s="40" t="n">
        <v>55.87</v>
      </c>
      <c r="G37" s="40" t="n">
        <v>17.96</v>
      </c>
      <c r="H37" s="40" t="n">
        <v>21.36</v>
      </c>
      <c r="I37" s="41" t="n">
        <v>304</v>
      </c>
      <c r="J37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37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37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37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37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37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37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37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37" s="43">
        <f>(Dashboard!$C$13*tblHistory[[#This Row],[NDX S]]+Dashboard!$C$14*tblHistory[[#This Row],[SOX S]]+Dashboard!$C$15*tblHistory[[#This Row],[AIQ S]])/SUM(Dashboard!$C$13:$C$15)*100</f>
        <v/>
      </c>
      <c r="S37" s="43">
        <f>(Dashboard!$C$16*tblHistory[[#This Row],[ORCL S]]+Dashboard!$C$17*tblHistory[[#This Row],[CRWV S]])/SUM(Dashboard!$C$16:$C$17)*100</f>
        <v/>
      </c>
      <c r="T37" s="43">
        <f>(Dashboard!$C$18*tblHistory[[#This Row],[BIZD S]]+Dashboard!$C$19*tblHistory[[#This Row],[BKLN S]]+Dashboard!$C$20*tblHistory[[#This Row],[HY S]])/SUM(Dashboard!$C$18:$C$20)*100</f>
        <v/>
      </c>
      <c r="U37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37" s="43">
        <f>IFERROR(--(tblHistory[[#This Row],[Score]]&gt;=50),0)</f>
        <v/>
      </c>
      <c r="W37" s="43">
        <f>IFERROR(--AND(tblHistory[[#This Row],[Score]]&gt;=60,tblHistory[[#This Row],[BIZD S]]&gt;=0.8,tblHistory[[#This Row],[BKLN S]]&gt;=0.5),0)</f>
        <v/>
      </c>
      <c r="X37" s="43">
        <f>IFERROR(--AND(tblHistory[[#This Row],[Score]]&gt;=70,tblHistory[[#This Row],[SOX S]]&gt;=0.83,tblHistory[[#This Row],[AIQ S]]&gt;=0.8),0)</f>
        <v/>
      </c>
      <c r="Y37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37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37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37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37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38">
      <c r="A38" s="39" t="n">
        <v>46262</v>
      </c>
      <c r="B38" s="40" t="n">
        <v>30015.93</v>
      </c>
      <c r="C38" s="40" t="n">
        <v>11105.45</v>
      </c>
      <c r="D38" s="40" t="n">
        <v>49.14</v>
      </c>
      <c r="E38" s="40" t="n">
        <v>308.61</v>
      </c>
      <c r="F38" s="40" t="n">
        <v>56.87</v>
      </c>
      <c r="G38" s="40" t="n">
        <v>18.1</v>
      </c>
      <c r="H38" s="40" t="n">
        <v>21.35</v>
      </c>
      <c r="I38" s="41" t="n">
        <v>306</v>
      </c>
      <c r="J38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38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38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38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38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38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38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38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38" s="43">
        <f>(Dashboard!$C$13*tblHistory[[#This Row],[NDX S]]+Dashboard!$C$14*tblHistory[[#This Row],[SOX S]]+Dashboard!$C$15*tblHistory[[#This Row],[AIQ S]])/SUM(Dashboard!$C$13:$C$15)*100</f>
        <v/>
      </c>
      <c r="S38" s="43">
        <f>(Dashboard!$C$16*tblHistory[[#This Row],[ORCL S]]+Dashboard!$C$17*tblHistory[[#This Row],[CRWV S]])/SUM(Dashboard!$C$16:$C$17)*100</f>
        <v/>
      </c>
      <c r="T38" s="43">
        <f>(Dashboard!$C$18*tblHistory[[#This Row],[BIZD S]]+Dashboard!$C$19*tblHistory[[#This Row],[BKLN S]]+Dashboard!$C$20*tblHistory[[#This Row],[HY S]])/SUM(Dashboard!$C$18:$C$20)*100</f>
        <v/>
      </c>
      <c r="U38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38" s="43">
        <f>IFERROR(--(tblHistory[[#This Row],[Score]]&gt;=50),0)</f>
        <v/>
      </c>
      <c r="W38" s="43">
        <f>IFERROR(--AND(tblHistory[[#This Row],[Score]]&gt;=60,tblHistory[[#This Row],[BIZD S]]&gt;=0.8,tblHistory[[#This Row],[BKLN S]]&gt;=0.5),0)</f>
        <v/>
      </c>
      <c r="X38" s="43">
        <f>IFERROR(--AND(tblHistory[[#This Row],[Score]]&gt;=70,tblHistory[[#This Row],[SOX S]]&gt;=0.83,tblHistory[[#This Row],[AIQ S]]&gt;=0.8),0)</f>
        <v/>
      </c>
      <c r="Y38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38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38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38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38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39">
      <c r="A39" s="39" t="n">
        <v>46261</v>
      </c>
      <c r="B39" s="40" t="n">
        <v>30175.02</v>
      </c>
      <c r="C39" s="40" t="n">
        <v>11239.04</v>
      </c>
      <c r="D39" s="40" t="n">
        <v>50</v>
      </c>
      <c r="E39" s="40" t="n">
        <v>309.67</v>
      </c>
      <c r="F39" s="40" t="n">
        <v>58.14</v>
      </c>
      <c r="G39" s="40" t="n">
        <v>18.29</v>
      </c>
      <c r="H39" s="40" t="n">
        <v>21.33</v>
      </c>
      <c r="I39" s="41" t="n">
        <v>309</v>
      </c>
      <c r="J39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39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39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39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39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39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39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39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39" s="43">
        <f>(Dashboard!$C$13*tblHistory[[#This Row],[NDX S]]+Dashboard!$C$14*tblHistory[[#This Row],[SOX S]]+Dashboard!$C$15*tblHistory[[#This Row],[AIQ S]])/SUM(Dashboard!$C$13:$C$15)*100</f>
        <v/>
      </c>
      <c r="S39" s="43">
        <f>(Dashboard!$C$16*tblHistory[[#This Row],[ORCL S]]+Dashboard!$C$17*tblHistory[[#This Row],[CRWV S]])/SUM(Dashboard!$C$16:$C$17)*100</f>
        <v/>
      </c>
      <c r="T39" s="43">
        <f>(Dashboard!$C$18*tblHistory[[#This Row],[BIZD S]]+Dashboard!$C$19*tblHistory[[#This Row],[BKLN S]]+Dashboard!$C$20*tblHistory[[#This Row],[HY S]])/SUM(Dashboard!$C$18:$C$20)*100</f>
        <v/>
      </c>
      <c r="U39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39" s="43">
        <f>IFERROR(--(tblHistory[[#This Row],[Score]]&gt;=50),0)</f>
        <v/>
      </c>
      <c r="W39" s="43">
        <f>IFERROR(--AND(tblHistory[[#This Row],[Score]]&gt;=60,tblHistory[[#This Row],[BIZD S]]&gt;=0.8,tblHistory[[#This Row],[BKLN S]]&gt;=0.5),0)</f>
        <v/>
      </c>
      <c r="X39" s="43">
        <f>IFERROR(--AND(tblHistory[[#This Row],[Score]]&gt;=70,tblHistory[[#This Row],[SOX S]]&gt;=0.83,tblHistory[[#This Row],[AIQ S]]&gt;=0.8),0)</f>
        <v/>
      </c>
      <c r="Y39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39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39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39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39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40">
      <c r="A40" s="39" t="n">
        <v>46260</v>
      </c>
      <c r="B40" s="40" t="n">
        <v>30516.72</v>
      </c>
      <c r="C40" s="40" t="n">
        <v>11198.08</v>
      </c>
      <c r="D40" s="40" t="n">
        <v>50.29</v>
      </c>
      <c r="E40" s="40" t="n">
        <v>311.4</v>
      </c>
      <c r="F40" s="40" t="n">
        <v>58.41</v>
      </c>
      <c r="G40" s="40" t="n">
        <v>18.19</v>
      </c>
      <c r="H40" s="40" t="n">
        <v>21.31</v>
      </c>
      <c r="I40" s="41" t="n">
        <v>306</v>
      </c>
      <c r="J40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40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40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40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40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40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40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40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40" s="43">
        <f>(Dashboard!$C$13*tblHistory[[#This Row],[NDX S]]+Dashboard!$C$14*tblHistory[[#This Row],[SOX S]]+Dashboard!$C$15*tblHistory[[#This Row],[AIQ S]])/SUM(Dashboard!$C$13:$C$15)*100</f>
        <v/>
      </c>
      <c r="S40" s="43">
        <f>(Dashboard!$C$16*tblHistory[[#This Row],[ORCL S]]+Dashboard!$C$17*tblHistory[[#This Row],[CRWV S]])/SUM(Dashboard!$C$16:$C$17)*100</f>
        <v/>
      </c>
      <c r="T40" s="43">
        <f>(Dashboard!$C$18*tblHistory[[#This Row],[BIZD S]]+Dashboard!$C$19*tblHistory[[#This Row],[BKLN S]]+Dashboard!$C$20*tblHistory[[#This Row],[HY S]])/SUM(Dashboard!$C$18:$C$20)*100</f>
        <v/>
      </c>
      <c r="U40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40" s="43">
        <f>IFERROR(--(tblHistory[[#This Row],[Score]]&gt;=50),0)</f>
        <v/>
      </c>
      <c r="W40" s="43">
        <f>IFERROR(--AND(tblHistory[[#This Row],[Score]]&gt;=60,tblHistory[[#This Row],[BIZD S]]&gt;=0.8,tblHistory[[#This Row],[BKLN S]]&gt;=0.5),0)</f>
        <v/>
      </c>
      <c r="X40" s="43">
        <f>IFERROR(--AND(tblHistory[[#This Row],[Score]]&gt;=70,tblHistory[[#This Row],[SOX S]]&gt;=0.83,tblHistory[[#This Row],[AIQ S]]&gt;=0.8),0)</f>
        <v/>
      </c>
      <c r="Y40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40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40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40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40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41">
      <c r="A41" s="39" t="n">
        <v>46259</v>
      </c>
      <c r="B41" s="40" t="n">
        <v>30646.66</v>
      </c>
      <c r="C41" s="40" t="n">
        <v>11240.5</v>
      </c>
      <c r="D41" s="40" t="n">
        <v>52.32</v>
      </c>
      <c r="E41" s="40" t="n">
        <v>304.21</v>
      </c>
      <c r="F41" s="40" t="n">
        <v>60.98</v>
      </c>
      <c r="G41" s="40" t="n">
        <v>18.58</v>
      </c>
      <c r="H41" s="40" t="n">
        <v>21.32</v>
      </c>
      <c r="I41" s="41" t="n">
        <v>316</v>
      </c>
      <c r="J41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41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41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41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41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41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41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41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41" s="43">
        <f>(Dashboard!$C$13*tblHistory[[#This Row],[NDX S]]+Dashboard!$C$14*tblHistory[[#This Row],[SOX S]]+Dashboard!$C$15*tblHistory[[#This Row],[AIQ S]])/SUM(Dashboard!$C$13:$C$15)*100</f>
        <v/>
      </c>
      <c r="S41" s="43">
        <f>(Dashboard!$C$16*tblHistory[[#This Row],[ORCL S]]+Dashboard!$C$17*tblHistory[[#This Row],[CRWV S]])/SUM(Dashboard!$C$16:$C$17)*100</f>
        <v/>
      </c>
      <c r="T41" s="43">
        <f>(Dashboard!$C$18*tblHistory[[#This Row],[BIZD S]]+Dashboard!$C$19*tblHistory[[#This Row],[BKLN S]]+Dashboard!$C$20*tblHistory[[#This Row],[HY S]])/SUM(Dashboard!$C$18:$C$20)*100</f>
        <v/>
      </c>
      <c r="U41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41" s="43">
        <f>IFERROR(--(tblHistory[[#This Row],[Score]]&gt;=50),0)</f>
        <v/>
      </c>
      <c r="W41" s="43">
        <f>IFERROR(--AND(tblHistory[[#This Row],[Score]]&gt;=60,tblHistory[[#This Row],[BIZD S]]&gt;=0.8,tblHistory[[#This Row],[BKLN S]]&gt;=0.5),0)</f>
        <v/>
      </c>
      <c r="X41" s="43">
        <f>IFERROR(--AND(tblHistory[[#This Row],[Score]]&gt;=70,tblHistory[[#This Row],[SOX S]]&gt;=0.83,tblHistory[[#This Row],[AIQ S]]&gt;=0.8),0)</f>
        <v/>
      </c>
      <c r="Y41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41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41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41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41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42">
      <c r="A42" s="39" t="n">
        <v>46258</v>
      </c>
      <c r="B42" s="40" t="n">
        <v>30614.34</v>
      </c>
      <c r="C42" s="40" t="n">
        <v>11861.21</v>
      </c>
      <c r="D42" s="40" t="n">
        <v>52.56</v>
      </c>
      <c r="E42" s="40" t="n">
        <v>310.16</v>
      </c>
      <c r="F42" s="40" t="n">
        <v>59.97</v>
      </c>
      <c r="G42" s="40" t="n">
        <v>18.77</v>
      </c>
      <c r="H42" s="40" t="n">
        <v>21.32</v>
      </c>
      <c r="I42" s="41" t="n">
        <v>304</v>
      </c>
      <c r="J42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42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42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42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42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42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42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42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42" s="43">
        <f>(Dashboard!$C$13*tblHistory[[#This Row],[NDX S]]+Dashboard!$C$14*tblHistory[[#This Row],[SOX S]]+Dashboard!$C$15*tblHistory[[#This Row],[AIQ S]])/SUM(Dashboard!$C$13:$C$15)*100</f>
        <v/>
      </c>
      <c r="S42" s="43">
        <f>(Dashboard!$C$16*tblHistory[[#This Row],[ORCL S]]+Dashboard!$C$17*tblHistory[[#This Row],[CRWV S]])/SUM(Dashboard!$C$16:$C$17)*100</f>
        <v/>
      </c>
      <c r="T42" s="43">
        <f>(Dashboard!$C$18*tblHistory[[#This Row],[BIZD S]]+Dashboard!$C$19*tblHistory[[#This Row],[BKLN S]]+Dashboard!$C$20*tblHistory[[#This Row],[HY S]])/SUM(Dashboard!$C$18:$C$20)*100</f>
        <v/>
      </c>
      <c r="U42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42" s="43">
        <f>IFERROR(--(tblHistory[[#This Row],[Score]]&gt;=50),0)</f>
        <v/>
      </c>
      <c r="W42" s="43">
        <f>IFERROR(--AND(tblHistory[[#This Row],[Score]]&gt;=60,tblHistory[[#This Row],[BIZD S]]&gt;=0.8,tblHistory[[#This Row],[BKLN S]]&gt;=0.5),0)</f>
        <v/>
      </c>
      <c r="X42" s="43">
        <f>IFERROR(--AND(tblHistory[[#This Row],[Score]]&gt;=70,tblHistory[[#This Row],[SOX S]]&gt;=0.83,tblHistory[[#This Row],[AIQ S]]&gt;=0.8),0)</f>
        <v/>
      </c>
      <c r="Y42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42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42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42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42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43">
      <c r="A43" s="39" t="n">
        <v>46255</v>
      </c>
      <c r="B43" s="40" t="n">
        <v>30454.96</v>
      </c>
      <c r="C43" s="40" t="n">
        <v>11348.17</v>
      </c>
      <c r="D43" s="40" t="n">
        <v>53.34</v>
      </c>
      <c r="E43" s="40" t="n">
        <v>295.57</v>
      </c>
      <c r="F43" s="40" t="n">
        <v>58.55</v>
      </c>
      <c r="G43" s="40" t="n">
        <v>18.86</v>
      </c>
      <c r="H43" s="40" t="n">
        <v>21.4</v>
      </c>
      <c r="I43" s="41" t="n">
        <v>304</v>
      </c>
      <c r="J43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43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43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43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43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43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43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43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43" s="43">
        <f>(Dashboard!$C$13*tblHistory[[#This Row],[NDX S]]+Dashboard!$C$14*tblHistory[[#This Row],[SOX S]]+Dashboard!$C$15*tblHistory[[#This Row],[AIQ S]])/SUM(Dashboard!$C$13:$C$15)*100</f>
        <v/>
      </c>
      <c r="S43" s="43">
        <f>(Dashboard!$C$16*tblHistory[[#This Row],[ORCL S]]+Dashboard!$C$17*tblHistory[[#This Row],[CRWV S]])/SUM(Dashboard!$C$16:$C$17)*100</f>
        <v/>
      </c>
      <c r="T43" s="43">
        <f>(Dashboard!$C$18*tblHistory[[#This Row],[BIZD S]]+Dashboard!$C$19*tblHistory[[#This Row],[BKLN S]]+Dashboard!$C$20*tblHistory[[#This Row],[HY S]])/SUM(Dashboard!$C$18:$C$20)*100</f>
        <v/>
      </c>
      <c r="U43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43" s="43">
        <f>IFERROR(--(tblHistory[[#This Row],[Score]]&gt;=50),0)</f>
        <v/>
      </c>
      <c r="W43" s="43">
        <f>IFERROR(--AND(tblHistory[[#This Row],[Score]]&gt;=60,tblHistory[[#This Row],[BIZD S]]&gt;=0.8,tblHistory[[#This Row],[BKLN S]]&gt;=0.5),0)</f>
        <v/>
      </c>
      <c r="X43" s="43">
        <f>IFERROR(--AND(tblHistory[[#This Row],[Score]]&gt;=70,tblHistory[[#This Row],[SOX S]]&gt;=0.83,tblHistory[[#This Row],[AIQ S]]&gt;=0.8),0)</f>
        <v/>
      </c>
      <c r="Y43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43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43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43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43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44">
      <c r="A44" s="39" t="n">
        <v>46254</v>
      </c>
      <c r="B44" s="40" t="n">
        <v>30832.27</v>
      </c>
      <c r="C44" s="40" t="n">
        <v>11208.23</v>
      </c>
      <c r="D44" s="40" t="n">
        <v>54.2</v>
      </c>
      <c r="E44" s="40" t="n">
        <v>302.3</v>
      </c>
      <c r="F44" s="40" t="n">
        <v>59.94</v>
      </c>
      <c r="G44" s="40" t="n">
        <v>19.07</v>
      </c>
      <c r="H44" s="40" t="n">
        <v>21.34</v>
      </c>
      <c r="I44" s="41" t="n">
        <v>306</v>
      </c>
      <c r="J44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44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44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44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44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44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44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44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44" s="43">
        <f>(Dashboard!$C$13*tblHistory[[#This Row],[NDX S]]+Dashboard!$C$14*tblHistory[[#This Row],[SOX S]]+Dashboard!$C$15*tblHistory[[#This Row],[AIQ S]])/SUM(Dashboard!$C$13:$C$15)*100</f>
        <v/>
      </c>
      <c r="S44" s="43">
        <f>(Dashboard!$C$16*tblHistory[[#This Row],[ORCL S]]+Dashboard!$C$17*tblHistory[[#This Row],[CRWV S]])/SUM(Dashboard!$C$16:$C$17)*100</f>
        <v/>
      </c>
      <c r="T44" s="43">
        <f>(Dashboard!$C$18*tblHistory[[#This Row],[BIZD S]]+Dashboard!$C$19*tblHistory[[#This Row],[BKLN S]]+Dashboard!$C$20*tblHistory[[#This Row],[HY S]])/SUM(Dashboard!$C$18:$C$20)*100</f>
        <v/>
      </c>
      <c r="U44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44" s="43">
        <f>IFERROR(--(tblHistory[[#This Row],[Score]]&gt;=50),0)</f>
        <v/>
      </c>
      <c r="W44" s="43">
        <f>IFERROR(--AND(tblHistory[[#This Row],[Score]]&gt;=60,tblHistory[[#This Row],[BIZD S]]&gt;=0.8,tblHistory[[#This Row],[BKLN S]]&gt;=0.5),0)</f>
        <v/>
      </c>
      <c r="X44" s="43">
        <f>IFERROR(--AND(tblHistory[[#This Row],[Score]]&gt;=70,tblHistory[[#This Row],[SOX S]]&gt;=0.83,tblHistory[[#This Row],[AIQ S]]&gt;=0.8),0)</f>
        <v/>
      </c>
      <c r="Y44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44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44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44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44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45">
      <c r="A45" s="39" t="n">
        <v>46253</v>
      </c>
      <c r="B45" s="40" t="n">
        <v>30837.16</v>
      </c>
      <c r="C45" s="40" t="n">
        <v>11595.66</v>
      </c>
      <c r="D45" s="40" t="n">
        <v>53.83</v>
      </c>
      <c r="E45" s="40" t="n">
        <v>304.51</v>
      </c>
      <c r="F45" s="40" t="n">
        <v>56.48</v>
      </c>
      <c r="G45" s="40" t="n">
        <v>19.25</v>
      </c>
      <c r="H45" s="40" t="n">
        <v>21.29</v>
      </c>
      <c r="I45" s="41" t="n">
        <v>300</v>
      </c>
      <c r="J45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45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45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45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45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45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45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45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45" s="43">
        <f>(Dashboard!$C$13*tblHistory[[#This Row],[NDX S]]+Dashboard!$C$14*tblHistory[[#This Row],[SOX S]]+Dashboard!$C$15*tblHistory[[#This Row],[AIQ S]])/SUM(Dashboard!$C$13:$C$15)*100</f>
        <v/>
      </c>
      <c r="S45" s="43">
        <f>(Dashboard!$C$16*tblHistory[[#This Row],[ORCL S]]+Dashboard!$C$17*tblHistory[[#This Row],[CRWV S]])/SUM(Dashboard!$C$16:$C$17)*100</f>
        <v/>
      </c>
      <c r="T45" s="43">
        <f>(Dashboard!$C$18*tblHistory[[#This Row],[BIZD S]]+Dashboard!$C$19*tblHistory[[#This Row],[BKLN S]]+Dashboard!$C$20*tblHistory[[#This Row],[HY S]])/SUM(Dashboard!$C$18:$C$20)*100</f>
        <v/>
      </c>
      <c r="U45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45" s="43">
        <f>IFERROR(--(tblHistory[[#This Row],[Score]]&gt;=50),0)</f>
        <v/>
      </c>
      <c r="W45" s="43">
        <f>IFERROR(--AND(tblHistory[[#This Row],[Score]]&gt;=60,tblHistory[[#This Row],[BIZD S]]&gt;=0.8,tblHistory[[#This Row],[BKLN S]]&gt;=0.5),0)</f>
        <v/>
      </c>
      <c r="X45" s="43">
        <f>IFERROR(--AND(tblHistory[[#This Row],[Score]]&gt;=70,tblHistory[[#This Row],[SOX S]]&gt;=0.83,tblHistory[[#This Row],[AIQ S]]&gt;=0.8),0)</f>
        <v/>
      </c>
      <c r="Y45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45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45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45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45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46">
      <c r="A46" s="39" t="n">
        <v>46252</v>
      </c>
      <c r="B46" s="40" t="n">
        <v>30933.99</v>
      </c>
      <c r="C46" s="40" t="n">
        <v>11633.07</v>
      </c>
      <c r="D46" s="40" t="n">
        <v>54.32</v>
      </c>
      <c r="E46" s="40" t="n">
        <v>310.97</v>
      </c>
      <c r="F46" s="40" t="n">
        <v>54.37</v>
      </c>
      <c r="G46" s="40" t="n">
        <v>19.33</v>
      </c>
      <c r="H46" s="40" t="n">
        <v>21.29</v>
      </c>
      <c r="I46" s="41" t="n">
        <v>297</v>
      </c>
      <c r="J46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46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46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46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46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46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46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46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46" s="43">
        <f>(Dashboard!$C$13*tblHistory[[#This Row],[NDX S]]+Dashboard!$C$14*tblHistory[[#This Row],[SOX S]]+Dashboard!$C$15*tblHistory[[#This Row],[AIQ S]])/SUM(Dashboard!$C$13:$C$15)*100</f>
        <v/>
      </c>
      <c r="S46" s="43">
        <f>(Dashboard!$C$16*tblHistory[[#This Row],[ORCL S]]+Dashboard!$C$17*tblHistory[[#This Row],[CRWV S]])/SUM(Dashboard!$C$16:$C$17)*100</f>
        <v/>
      </c>
      <c r="T46" s="43">
        <f>(Dashboard!$C$18*tblHistory[[#This Row],[BIZD S]]+Dashboard!$C$19*tblHistory[[#This Row],[BKLN S]]+Dashboard!$C$20*tblHistory[[#This Row],[HY S]])/SUM(Dashboard!$C$18:$C$20)*100</f>
        <v/>
      </c>
      <c r="U46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46" s="43">
        <f>IFERROR(--(tblHistory[[#This Row],[Score]]&gt;=50),0)</f>
        <v/>
      </c>
      <c r="W46" s="43">
        <f>IFERROR(--AND(tblHistory[[#This Row],[Score]]&gt;=60,tblHistory[[#This Row],[BIZD S]]&gt;=0.8,tblHistory[[#This Row],[BKLN S]]&gt;=0.5),0)</f>
        <v/>
      </c>
      <c r="X46" s="43">
        <f>IFERROR(--AND(tblHistory[[#This Row],[Score]]&gt;=70,tblHistory[[#This Row],[SOX S]]&gt;=0.83,tblHistory[[#This Row],[AIQ S]]&gt;=0.8),0)</f>
        <v/>
      </c>
      <c r="Y46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46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46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46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46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47">
      <c r="A47" s="39" t="n">
        <v>46251</v>
      </c>
      <c r="B47" s="40" t="n">
        <v>30989.52</v>
      </c>
      <c r="C47" s="40" t="n">
        <v>12215.12</v>
      </c>
      <c r="D47" s="40" t="n">
        <v>54.02</v>
      </c>
      <c r="E47" s="40" t="n">
        <v>314.25</v>
      </c>
      <c r="F47" s="40" t="n">
        <v>51.01</v>
      </c>
      <c r="G47" s="40" t="n">
        <v>19.31</v>
      </c>
      <c r="H47" s="40" t="n">
        <v>21.29</v>
      </c>
      <c r="I47" s="41" t="n">
        <v>293</v>
      </c>
      <c r="J47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47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47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47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47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47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47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47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47" s="43">
        <f>(Dashboard!$C$13*tblHistory[[#This Row],[NDX S]]+Dashboard!$C$14*tblHistory[[#This Row],[SOX S]]+Dashboard!$C$15*tblHistory[[#This Row],[AIQ S]])/SUM(Dashboard!$C$13:$C$15)*100</f>
        <v/>
      </c>
      <c r="S47" s="43">
        <f>(Dashboard!$C$16*tblHistory[[#This Row],[ORCL S]]+Dashboard!$C$17*tblHistory[[#This Row],[CRWV S]])/SUM(Dashboard!$C$16:$C$17)*100</f>
        <v/>
      </c>
      <c r="T47" s="43">
        <f>(Dashboard!$C$18*tblHistory[[#This Row],[BIZD S]]+Dashboard!$C$19*tblHistory[[#This Row],[BKLN S]]+Dashboard!$C$20*tblHistory[[#This Row],[HY S]])/SUM(Dashboard!$C$18:$C$20)*100</f>
        <v/>
      </c>
      <c r="U47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47" s="43">
        <f>IFERROR(--(tblHistory[[#This Row],[Score]]&gt;=50),0)</f>
        <v/>
      </c>
      <c r="W47" s="43">
        <f>IFERROR(--AND(tblHistory[[#This Row],[Score]]&gt;=60,tblHistory[[#This Row],[BIZD S]]&gt;=0.8,tblHistory[[#This Row],[BKLN S]]&gt;=0.5),0)</f>
        <v/>
      </c>
      <c r="X47" s="43">
        <f>IFERROR(--AND(tblHistory[[#This Row],[Score]]&gt;=70,tblHistory[[#This Row],[SOX S]]&gt;=0.83,tblHistory[[#This Row],[AIQ S]]&gt;=0.8),0)</f>
        <v/>
      </c>
      <c r="Y47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47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47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47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47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48">
      <c r="A48" s="39" t="n">
        <v>46248</v>
      </c>
      <c r="B48" s="40" t="n">
        <v>30979.52</v>
      </c>
      <c r="C48" s="40" t="n">
        <v>11734.33</v>
      </c>
      <c r="D48" s="40" t="n">
        <v>53.57</v>
      </c>
      <c r="E48" s="40" t="n">
        <v>311.01</v>
      </c>
      <c r="F48" s="40" t="n">
        <v>51.1</v>
      </c>
      <c r="G48" s="40" t="n">
        <v>19.32</v>
      </c>
      <c r="H48" s="40" t="n">
        <v>21.31</v>
      </c>
      <c r="I48" s="41" t="n">
        <v>293</v>
      </c>
      <c r="J48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48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48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48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48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48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48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48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48" s="43">
        <f>(Dashboard!$C$13*tblHistory[[#This Row],[NDX S]]+Dashboard!$C$14*tblHistory[[#This Row],[SOX S]]+Dashboard!$C$15*tblHistory[[#This Row],[AIQ S]])/SUM(Dashboard!$C$13:$C$15)*100</f>
        <v/>
      </c>
      <c r="S48" s="43">
        <f>(Dashboard!$C$16*tblHistory[[#This Row],[ORCL S]]+Dashboard!$C$17*tblHistory[[#This Row],[CRWV S]])/SUM(Dashboard!$C$16:$C$17)*100</f>
        <v/>
      </c>
      <c r="T48" s="43">
        <f>(Dashboard!$C$18*tblHistory[[#This Row],[BIZD S]]+Dashboard!$C$19*tblHistory[[#This Row],[BKLN S]]+Dashboard!$C$20*tblHistory[[#This Row],[HY S]])/SUM(Dashboard!$C$18:$C$20)*100</f>
        <v/>
      </c>
      <c r="U48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48" s="43">
        <f>IFERROR(--(tblHistory[[#This Row],[Score]]&gt;=50),0)</f>
        <v/>
      </c>
      <c r="W48" s="43">
        <f>IFERROR(--AND(tblHistory[[#This Row],[Score]]&gt;=60,tblHistory[[#This Row],[BIZD S]]&gt;=0.8,tblHistory[[#This Row],[BKLN S]]&gt;=0.5),0)</f>
        <v/>
      </c>
      <c r="X48" s="43">
        <f>IFERROR(--AND(tblHistory[[#This Row],[Score]]&gt;=70,tblHistory[[#This Row],[SOX S]]&gt;=0.83,tblHistory[[#This Row],[AIQ S]]&gt;=0.8),0)</f>
        <v/>
      </c>
      <c r="Y48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48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48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48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48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49">
      <c r="A49" s="39" t="n">
        <v>46247</v>
      </c>
      <c r="B49" s="40" t="n">
        <v>31424.19</v>
      </c>
      <c r="C49" s="40" t="n">
        <v>11762.8</v>
      </c>
      <c r="D49" s="40" t="n">
        <v>54.32</v>
      </c>
      <c r="E49" s="40" t="n">
        <v>310.33</v>
      </c>
      <c r="F49" s="40" t="n">
        <v>47.32</v>
      </c>
      <c r="G49" s="40" t="n">
        <v>19.22</v>
      </c>
      <c r="H49" s="40" t="n">
        <v>21.3</v>
      </c>
      <c r="I49" s="41" t="n">
        <v>288</v>
      </c>
      <c r="J49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49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49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49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49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49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49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49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49" s="43">
        <f>(Dashboard!$C$13*tblHistory[[#This Row],[NDX S]]+Dashboard!$C$14*tblHistory[[#This Row],[SOX S]]+Dashboard!$C$15*tblHistory[[#This Row],[AIQ S]])/SUM(Dashboard!$C$13:$C$15)*100</f>
        <v/>
      </c>
      <c r="S49" s="43">
        <f>(Dashboard!$C$16*tblHistory[[#This Row],[ORCL S]]+Dashboard!$C$17*tblHistory[[#This Row],[CRWV S]])/SUM(Dashboard!$C$16:$C$17)*100</f>
        <v/>
      </c>
      <c r="T49" s="43">
        <f>(Dashboard!$C$18*tblHistory[[#This Row],[BIZD S]]+Dashboard!$C$19*tblHistory[[#This Row],[BKLN S]]+Dashboard!$C$20*tblHistory[[#This Row],[HY S]])/SUM(Dashboard!$C$18:$C$20)*100</f>
        <v/>
      </c>
      <c r="U49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49" s="43">
        <f>IFERROR(--(tblHistory[[#This Row],[Score]]&gt;=50),0)</f>
        <v/>
      </c>
      <c r="W49" s="43">
        <f>IFERROR(--AND(tblHistory[[#This Row],[Score]]&gt;=60,tblHistory[[#This Row],[BIZD S]]&gt;=0.8,tblHistory[[#This Row],[BKLN S]]&gt;=0.5),0)</f>
        <v/>
      </c>
      <c r="X49" s="43">
        <f>IFERROR(--AND(tblHistory[[#This Row],[Score]]&gt;=70,tblHistory[[#This Row],[SOX S]]&gt;=0.83,tblHistory[[#This Row],[AIQ S]]&gt;=0.8),0)</f>
        <v/>
      </c>
      <c r="Y49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49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49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49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49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50">
      <c r="A50" s="39" t="n">
        <v>46246</v>
      </c>
      <c r="B50" s="40" t="n">
        <v>32009.13</v>
      </c>
      <c r="C50" s="40" t="n">
        <v>11640</v>
      </c>
      <c r="D50" s="40" t="n">
        <v>53.56</v>
      </c>
      <c r="E50" s="40" t="n">
        <v>304.37</v>
      </c>
      <c r="F50" s="40" t="n">
        <v>47.09</v>
      </c>
      <c r="G50" s="40" t="n">
        <v>19.37</v>
      </c>
      <c r="H50" s="40" t="n">
        <v>21.3</v>
      </c>
      <c r="I50" s="41" t="n">
        <v>307</v>
      </c>
      <c r="J50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50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50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50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50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50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50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50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50" s="43">
        <f>(Dashboard!$C$13*tblHistory[[#This Row],[NDX S]]+Dashboard!$C$14*tblHistory[[#This Row],[SOX S]]+Dashboard!$C$15*tblHistory[[#This Row],[AIQ S]])/SUM(Dashboard!$C$13:$C$15)*100</f>
        <v/>
      </c>
      <c r="S50" s="43">
        <f>(Dashboard!$C$16*tblHistory[[#This Row],[ORCL S]]+Dashboard!$C$17*tblHistory[[#This Row],[CRWV S]])/SUM(Dashboard!$C$16:$C$17)*100</f>
        <v/>
      </c>
      <c r="T50" s="43">
        <f>(Dashboard!$C$18*tblHistory[[#This Row],[BIZD S]]+Dashboard!$C$19*tblHistory[[#This Row],[BKLN S]]+Dashboard!$C$20*tblHistory[[#This Row],[HY S]])/SUM(Dashboard!$C$18:$C$20)*100</f>
        <v/>
      </c>
      <c r="U50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50" s="43">
        <f>IFERROR(--(tblHistory[[#This Row],[Score]]&gt;=50),0)</f>
        <v/>
      </c>
      <c r="W50" s="43">
        <f>IFERROR(--AND(tblHistory[[#This Row],[Score]]&gt;=60,tblHistory[[#This Row],[BIZD S]]&gt;=0.8,tblHistory[[#This Row],[BKLN S]]&gt;=0.5),0)</f>
        <v/>
      </c>
      <c r="X50" s="43">
        <f>IFERROR(--AND(tblHistory[[#This Row],[Score]]&gt;=70,tblHistory[[#This Row],[SOX S]]&gt;=0.83,tblHistory[[#This Row],[AIQ S]]&gt;=0.8),0)</f>
        <v/>
      </c>
      <c r="Y50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50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50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50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50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51">
      <c r="A51" s="39" t="n">
        <v>46245</v>
      </c>
      <c r="B51" s="40" t="n">
        <v>31802.24</v>
      </c>
      <c r="C51" s="40" t="n">
        <v>11637.16</v>
      </c>
      <c r="D51" s="40" t="n">
        <v>53.35</v>
      </c>
      <c r="E51" s="40" t="n">
        <v>298.76</v>
      </c>
      <c r="F51" s="40" t="n">
        <v>46.71</v>
      </c>
      <c r="G51" s="40" t="n">
        <v>19.32</v>
      </c>
      <c r="H51" s="40" t="n">
        <v>21.27</v>
      </c>
      <c r="I51" s="41" t="n">
        <v>314</v>
      </c>
      <c r="J51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51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51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51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51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51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51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51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51" s="43">
        <f>(Dashboard!$C$13*tblHistory[[#This Row],[NDX S]]+Dashboard!$C$14*tblHistory[[#This Row],[SOX S]]+Dashboard!$C$15*tblHistory[[#This Row],[AIQ S]])/SUM(Dashboard!$C$13:$C$15)*100</f>
        <v/>
      </c>
      <c r="S51" s="43">
        <f>(Dashboard!$C$16*tblHistory[[#This Row],[ORCL S]]+Dashboard!$C$17*tblHistory[[#This Row],[CRWV S]])/SUM(Dashboard!$C$16:$C$17)*100</f>
        <v/>
      </c>
      <c r="T51" s="43">
        <f>(Dashboard!$C$18*tblHistory[[#This Row],[BIZD S]]+Dashboard!$C$19*tblHistory[[#This Row],[BKLN S]]+Dashboard!$C$20*tblHistory[[#This Row],[HY S]])/SUM(Dashboard!$C$18:$C$20)*100</f>
        <v/>
      </c>
      <c r="U51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51" s="43">
        <f>IFERROR(--(tblHistory[[#This Row],[Score]]&gt;=50),0)</f>
        <v/>
      </c>
      <c r="W51" s="43">
        <f>IFERROR(--AND(tblHistory[[#This Row],[Score]]&gt;=60,tblHistory[[#This Row],[BIZD S]]&gt;=0.8,tblHistory[[#This Row],[BKLN S]]&gt;=0.5),0)</f>
        <v/>
      </c>
      <c r="X51" s="43">
        <f>IFERROR(--AND(tblHistory[[#This Row],[Score]]&gt;=70,tblHistory[[#This Row],[SOX S]]&gt;=0.83,tblHistory[[#This Row],[AIQ S]]&gt;=0.8),0)</f>
        <v/>
      </c>
      <c r="Y51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51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51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51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51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52">
      <c r="A52" s="39" t="n">
        <v>46244</v>
      </c>
      <c r="B52" s="40" t="n">
        <v>31781.08</v>
      </c>
      <c r="C52" s="40" t="n">
        <v>11846.22</v>
      </c>
      <c r="D52" s="40" t="n">
        <v>53.51</v>
      </c>
      <c r="E52" s="40" t="n">
        <v>304.47</v>
      </c>
      <c r="F52" s="40" t="n">
        <v>45.66</v>
      </c>
      <c r="G52" s="40" t="n">
        <v>19.16</v>
      </c>
      <c r="H52" s="40" t="n">
        <v>21.29</v>
      </c>
      <c r="I52" s="41" t="n">
        <v>314</v>
      </c>
      <c r="J52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52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52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52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52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52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52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52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52" s="43">
        <f>(Dashboard!$C$13*tblHistory[[#This Row],[NDX S]]+Dashboard!$C$14*tblHistory[[#This Row],[SOX S]]+Dashboard!$C$15*tblHistory[[#This Row],[AIQ S]])/SUM(Dashboard!$C$13:$C$15)*100</f>
        <v/>
      </c>
      <c r="S52" s="43">
        <f>(Dashboard!$C$16*tblHistory[[#This Row],[ORCL S]]+Dashboard!$C$17*tblHistory[[#This Row],[CRWV S]])/SUM(Dashboard!$C$16:$C$17)*100</f>
        <v/>
      </c>
      <c r="T52" s="43">
        <f>(Dashboard!$C$18*tblHistory[[#This Row],[BIZD S]]+Dashboard!$C$19*tblHistory[[#This Row],[BKLN S]]+Dashboard!$C$20*tblHistory[[#This Row],[HY S]])/SUM(Dashboard!$C$18:$C$20)*100</f>
        <v/>
      </c>
      <c r="U52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52" s="43">
        <f>IFERROR(--(tblHistory[[#This Row],[Score]]&gt;=50),0)</f>
        <v/>
      </c>
      <c r="W52" s="43">
        <f>IFERROR(--AND(tblHistory[[#This Row],[Score]]&gt;=60,tblHistory[[#This Row],[BIZD S]]&gt;=0.8,tblHistory[[#This Row],[BKLN S]]&gt;=0.5),0)</f>
        <v/>
      </c>
      <c r="X52" s="43">
        <f>IFERROR(--AND(tblHistory[[#This Row],[Score]]&gt;=70,tblHistory[[#This Row],[SOX S]]&gt;=0.83,tblHistory[[#This Row],[AIQ S]]&gt;=0.8),0)</f>
        <v/>
      </c>
      <c r="Y52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52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52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52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52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53">
      <c r="A53" s="39" t="n">
        <v>46241</v>
      </c>
      <c r="B53" s="40" t="n">
        <v>31793.02</v>
      </c>
      <c r="C53" s="40" t="n">
        <v>11843.35</v>
      </c>
      <c r="D53" s="40" t="n">
        <v>54.67</v>
      </c>
      <c r="E53" s="40" t="n">
        <v>297.13</v>
      </c>
      <c r="F53" s="40" t="n">
        <v>46.39</v>
      </c>
      <c r="G53" s="40" t="n">
        <v>19.11</v>
      </c>
      <c r="H53" s="40" t="n">
        <v>21.24</v>
      </c>
      <c r="I53" s="41" t="n">
        <v>313</v>
      </c>
      <c r="J53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53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53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53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53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53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53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53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53" s="43">
        <f>(Dashboard!$C$13*tblHistory[[#This Row],[NDX S]]+Dashboard!$C$14*tblHistory[[#This Row],[SOX S]]+Dashboard!$C$15*tblHistory[[#This Row],[AIQ S]])/SUM(Dashboard!$C$13:$C$15)*100</f>
        <v/>
      </c>
      <c r="S53" s="43">
        <f>(Dashboard!$C$16*tblHistory[[#This Row],[ORCL S]]+Dashboard!$C$17*tblHistory[[#This Row],[CRWV S]])/SUM(Dashboard!$C$16:$C$17)*100</f>
        <v/>
      </c>
      <c r="T53" s="43">
        <f>(Dashboard!$C$18*tblHistory[[#This Row],[BIZD S]]+Dashboard!$C$19*tblHistory[[#This Row],[BKLN S]]+Dashboard!$C$20*tblHistory[[#This Row],[HY S]])/SUM(Dashboard!$C$18:$C$20)*100</f>
        <v/>
      </c>
      <c r="U53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53" s="43">
        <f>IFERROR(--(tblHistory[[#This Row],[Score]]&gt;=50),0)</f>
        <v/>
      </c>
      <c r="W53" s="43">
        <f>IFERROR(--AND(tblHistory[[#This Row],[Score]]&gt;=60,tblHistory[[#This Row],[BIZD S]]&gt;=0.8,tblHistory[[#This Row],[BKLN S]]&gt;=0.5),0)</f>
        <v/>
      </c>
      <c r="X53" s="43">
        <f>IFERROR(--AND(tblHistory[[#This Row],[Score]]&gt;=70,tblHistory[[#This Row],[SOX S]]&gt;=0.83,tblHistory[[#This Row],[AIQ S]]&gt;=0.8),0)</f>
        <v/>
      </c>
      <c r="Y53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53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53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53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53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54">
      <c r="A54" s="39" t="n">
        <v>46240</v>
      </c>
      <c r="B54" s="40" t="n">
        <v>32187.11</v>
      </c>
      <c r="C54" s="40" t="n">
        <v>11910.22</v>
      </c>
      <c r="D54" s="40" t="n">
        <v>54.04</v>
      </c>
      <c r="E54" s="40" t="n">
        <v>295.63</v>
      </c>
      <c r="F54" s="40" t="n">
        <v>44.25</v>
      </c>
      <c r="G54" s="40" t="n">
        <v>19.11</v>
      </c>
      <c r="H54" s="40" t="n">
        <v>21.21</v>
      </c>
      <c r="I54" s="41" t="n">
        <v>313</v>
      </c>
      <c r="J54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54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54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54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54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54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54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54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54" s="43">
        <f>(Dashboard!$C$13*tblHistory[[#This Row],[NDX S]]+Dashboard!$C$14*tblHistory[[#This Row],[SOX S]]+Dashboard!$C$15*tblHistory[[#This Row],[AIQ S]])/SUM(Dashboard!$C$13:$C$15)*100</f>
        <v/>
      </c>
      <c r="S54" s="43">
        <f>(Dashboard!$C$16*tblHistory[[#This Row],[ORCL S]]+Dashboard!$C$17*tblHistory[[#This Row],[CRWV S]])/SUM(Dashboard!$C$16:$C$17)*100</f>
        <v/>
      </c>
      <c r="T54" s="43">
        <f>(Dashboard!$C$18*tblHistory[[#This Row],[BIZD S]]+Dashboard!$C$19*tblHistory[[#This Row],[BKLN S]]+Dashboard!$C$20*tblHistory[[#This Row],[HY S]])/SUM(Dashboard!$C$18:$C$20)*100</f>
        <v/>
      </c>
      <c r="U54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54" s="43">
        <f>IFERROR(--(tblHistory[[#This Row],[Score]]&gt;=50),0)</f>
        <v/>
      </c>
      <c r="W54" s="43">
        <f>IFERROR(--AND(tblHistory[[#This Row],[Score]]&gt;=60,tblHistory[[#This Row],[BIZD S]]&gt;=0.8,tblHistory[[#This Row],[BKLN S]]&gt;=0.5),0)</f>
        <v/>
      </c>
      <c r="X54" s="43">
        <f>IFERROR(--AND(tblHistory[[#This Row],[Score]]&gt;=70,tblHistory[[#This Row],[SOX S]]&gt;=0.83,tblHistory[[#This Row],[AIQ S]]&gt;=0.8),0)</f>
        <v/>
      </c>
      <c r="Y54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54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54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54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54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55">
      <c r="A55" s="39" t="n">
        <v>46239</v>
      </c>
      <c r="B55" s="40" t="n">
        <v>32579.65</v>
      </c>
      <c r="C55" s="40" t="n">
        <v>12298.36</v>
      </c>
      <c r="D55" s="40" t="n">
        <v>54.54</v>
      </c>
      <c r="E55" s="40" t="n">
        <v>291.34</v>
      </c>
      <c r="F55" s="40" t="n">
        <v>45.19</v>
      </c>
      <c r="G55" s="40" t="n">
        <v>19.03</v>
      </c>
      <c r="H55" s="40" t="n">
        <v>21.25</v>
      </c>
      <c r="I55" s="41" t="n">
        <v>307</v>
      </c>
      <c r="J55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55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55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55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55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55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55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55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55" s="43">
        <f>(Dashboard!$C$13*tblHistory[[#This Row],[NDX S]]+Dashboard!$C$14*tblHistory[[#This Row],[SOX S]]+Dashboard!$C$15*tblHistory[[#This Row],[AIQ S]])/SUM(Dashboard!$C$13:$C$15)*100</f>
        <v/>
      </c>
      <c r="S55" s="43">
        <f>(Dashboard!$C$16*tblHistory[[#This Row],[ORCL S]]+Dashboard!$C$17*tblHistory[[#This Row],[CRWV S]])/SUM(Dashboard!$C$16:$C$17)*100</f>
        <v/>
      </c>
      <c r="T55" s="43">
        <f>(Dashboard!$C$18*tblHistory[[#This Row],[BIZD S]]+Dashboard!$C$19*tblHistory[[#This Row],[BKLN S]]+Dashboard!$C$20*tblHistory[[#This Row],[HY S]])/SUM(Dashboard!$C$18:$C$20)*100</f>
        <v/>
      </c>
      <c r="U55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55" s="43">
        <f>IFERROR(--(tblHistory[[#This Row],[Score]]&gt;=50),0)</f>
        <v/>
      </c>
      <c r="W55" s="43">
        <f>IFERROR(--AND(tblHistory[[#This Row],[Score]]&gt;=60,tblHistory[[#This Row],[BIZD S]]&gt;=0.8,tblHistory[[#This Row],[BKLN S]]&gt;=0.5),0)</f>
        <v/>
      </c>
      <c r="X55" s="43">
        <f>IFERROR(--AND(tblHistory[[#This Row],[Score]]&gt;=70,tblHistory[[#This Row],[SOX S]]&gt;=0.83,tblHistory[[#This Row],[AIQ S]]&gt;=0.8),0)</f>
        <v/>
      </c>
      <c r="Y55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55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55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55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55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56">
      <c r="A56" s="39" t="n">
        <v>46238</v>
      </c>
      <c r="B56" s="40" t="n">
        <v>32758.19</v>
      </c>
      <c r="C56" s="40" t="n">
        <v>12331.78</v>
      </c>
      <c r="D56" s="40" t="n">
        <v>53.32</v>
      </c>
      <c r="E56" s="40" t="n">
        <v>292.72</v>
      </c>
      <c r="F56" s="40" t="n">
        <v>44.78</v>
      </c>
      <c r="G56" s="40" t="n">
        <v>19.04</v>
      </c>
      <c r="H56" s="40" t="n">
        <v>21.3</v>
      </c>
      <c r="I56" s="41" t="n">
        <v>310</v>
      </c>
      <c r="J56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56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56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56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56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56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56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56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56" s="43">
        <f>(Dashboard!$C$13*tblHistory[[#This Row],[NDX S]]+Dashboard!$C$14*tblHistory[[#This Row],[SOX S]]+Dashboard!$C$15*tblHistory[[#This Row],[AIQ S]])/SUM(Dashboard!$C$13:$C$15)*100</f>
        <v/>
      </c>
      <c r="S56" s="43">
        <f>(Dashboard!$C$16*tblHistory[[#This Row],[ORCL S]]+Dashboard!$C$17*tblHistory[[#This Row],[CRWV S]])/SUM(Dashboard!$C$16:$C$17)*100</f>
        <v/>
      </c>
      <c r="T56" s="43">
        <f>(Dashboard!$C$18*tblHistory[[#This Row],[BIZD S]]+Dashboard!$C$19*tblHistory[[#This Row],[BKLN S]]+Dashboard!$C$20*tblHistory[[#This Row],[HY S]])/SUM(Dashboard!$C$18:$C$20)*100</f>
        <v/>
      </c>
      <c r="U56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56" s="43">
        <f>IFERROR(--(tblHistory[[#This Row],[Score]]&gt;=50),0)</f>
        <v/>
      </c>
      <c r="W56" s="43">
        <f>IFERROR(--AND(tblHistory[[#This Row],[Score]]&gt;=60,tblHistory[[#This Row],[BIZD S]]&gt;=0.8,tblHistory[[#This Row],[BKLN S]]&gt;=0.5),0)</f>
        <v/>
      </c>
      <c r="X56" s="43">
        <f>IFERROR(--AND(tblHistory[[#This Row],[Score]]&gt;=70,tblHistory[[#This Row],[SOX S]]&gt;=0.83,tblHistory[[#This Row],[AIQ S]]&gt;=0.8),0)</f>
        <v/>
      </c>
      <c r="Y56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56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56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56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56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57">
      <c r="A57" s="39" t="n">
        <v>46237</v>
      </c>
      <c r="B57" s="40" t="n">
        <v>33258</v>
      </c>
      <c r="C57" s="40" t="n">
        <v>12396.71</v>
      </c>
      <c r="D57" s="40" t="n">
        <v>54.02</v>
      </c>
      <c r="E57" s="40" t="n">
        <v>296.8</v>
      </c>
      <c r="F57" s="40" t="n">
        <v>45.63</v>
      </c>
      <c r="G57" s="40" t="n">
        <v>19.18</v>
      </c>
      <c r="H57" s="40" t="n">
        <v>21.36</v>
      </c>
      <c r="I57" s="41" t="n">
        <v>317</v>
      </c>
      <c r="J57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57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57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57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57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57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57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57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57" s="43">
        <f>(Dashboard!$C$13*tblHistory[[#This Row],[NDX S]]+Dashboard!$C$14*tblHistory[[#This Row],[SOX S]]+Dashboard!$C$15*tblHistory[[#This Row],[AIQ S]])/SUM(Dashboard!$C$13:$C$15)*100</f>
        <v/>
      </c>
      <c r="S57" s="43">
        <f>(Dashboard!$C$16*tblHistory[[#This Row],[ORCL S]]+Dashboard!$C$17*tblHistory[[#This Row],[CRWV S]])/SUM(Dashboard!$C$16:$C$17)*100</f>
        <v/>
      </c>
      <c r="T57" s="43">
        <f>(Dashboard!$C$18*tblHistory[[#This Row],[BIZD S]]+Dashboard!$C$19*tblHistory[[#This Row],[BKLN S]]+Dashboard!$C$20*tblHistory[[#This Row],[HY S]])/SUM(Dashboard!$C$18:$C$20)*100</f>
        <v/>
      </c>
      <c r="U57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57" s="43">
        <f>IFERROR(--(tblHistory[[#This Row],[Score]]&gt;=50),0)</f>
        <v/>
      </c>
      <c r="W57" s="43">
        <f>IFERROR(--AND(tblHistory[[#This Row],[Score]]&gt;=60,tblHistory[[#This Row],[BIZD S]]&gt;=0.8,tblHistory[[#This Row],[BKLN S]]&gt;=0.5),0)</f>
        <v/>
      </c>
      <c r="X57" s="43">
        <f>IFERROR(--AND(tblHistory[[#This Row],[Score]]&gt;=70,tblHistory[[#This Row],[SOX S]]&gt;=0.83,tblHistory[[#This Row],[AIQ S]]&gt;=0.8),0)</f>
        <v/>
      </c>
      <c r="Y57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57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57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57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57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58">
      <c r="A58" s="39" t="n">
        <v>46234</v>
      </c>
      <c r="B58" s="40" t="n">
        <v>32776.89</v>
      </c>
      <c r="C58" s="40" t="n">
        <v>12452.02</v>
      </c>
      <c r="D58" s="40" t="n">
        <v>54.96</v>
      </c>
      <c r="E58" s="40" t="n">
        <v>301.67</v>
      </c>
      <c r="F58" s="40" t="n">
        <v>42.62</v>
      </c>
      <c r="G58" s="40" t="n">
        <v>19.02</v>
      </c>
      <c r="H58" s="40" t="n">
        <v>21.28</v>
      </c>
      <c r="I58" s="41" t="n">
        <v>313</v>
      </c>
      <c r="J58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58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58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58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58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58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58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58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58" s="43">
        <f>(Dashboard!$C$13*tblHistory[[#This Row],[NDX S]]+Dashboard!$C$14*tblHistory[[#This Row],[SOX S]]+Dashboard!$C$15*tblHistory[[#This Row],[AIQ S]])/SUM(Dashboard!$C$13:$C$15)*100</f>
        <v/>
      </c>
      <c r="S58" s="43">
        <f>(Dashboard!$C$16*tblHistory[[#This Row],[ORCL S]]+Dashboard!$C$17*tblHistory[[#This Row],[CRWV S]])/SUM(Dashboard!$C$16:$C$17)*100</f>
        <v/>
      </c>
      <c r="T58" s="43">
        <f>(Dashboard!$C$18*tblHistory[[#This Row],[BIZD S]]+Dashboard!$C$19*tblHistory[[#This Row],[BKLN S]]+Dashboard!$C$20*tblHistory[[#This Row],[HY S]])/SUM(Dashboard!$C$18:$C$20)*100</f>
        <v/>
      </c>
      <c r="U58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58" s="43">
        <f>IFERROR(--(tblHistory[[#This Row],[Score]]&gt;=50),0)</f>
        <v/>
      </c>
      <c r="W58" s="43">
        <f>IFERROR(--AND(tblHistory[[#This Row],[Score]]&gt;=60,tblHistory[[#This Row],[BIZD S]]&gt;=0.8,tblHistory[[#This Row],[BKLN S]]&gt;=0.5),0)</f>
        <v/>
      </c>
      <c r="X58" s="43">
        <f>IFERROR(--AND(tblHistory[[#This Row],[Score]]&gt;=70,tblHistory[[#This Row],[SOX S]]&gt;=0.83,tblHistory[[#This Row],[AIQ S]]&gt;=0.8),0)</f>
        <v/>
      </c>
      <c r="Y58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58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58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58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58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59">
      <c r="A59" s="39" t="n">
        <v>46233</v>
      </c>
      <c r="B59" s="40" t="n">
        <v>32171.85</v>
      </c>
      <c r="C59" s="40" t="n">
        <v>12447.66</v>
      </c>
      <c r="D59" s="40" t="n">
        <v>55.13</v>
      </c>
      <c r="E59" s="40" t="n">
        <v>299.59</v>
      </c>
      <c r="F59" s="40" t="n">
        <v>41.58</v>
      </c>
      <c r="G59" s="40" t="n">
        <v>18.68</v>
      </c>
      <c r="H59" s="40" t="n">
        <v>21.26</v>
      </c>
      <c r="I59" s="41" t="n">
        <v>312</v>
      </c>
      <c r="J59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59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59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59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59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59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59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59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59" s="43">
        <f>(Dashboard!$C$13*tblHistory[[#This Row],[NDX S]]+Dashboard!$C$14*tblHistory[[#This Row],[SOX S]]+Dashboard!$C$15*tblHistory[[#This Row],[AIQ S]])/SUM(Dashboard!$C$13:$C$15)*100</f>
        <v/>
      </c>
      <c r="S59" s="43">
        <f>(Dashboard!$C$16*tblHistory[[#This Row],[ORCL S]]+Dashboard!$C$17*tblHistory[[#This Row],[CRWV S]])/SUM(Dashboard!$C$16:$C$17)*100</f>
        <v/>
      </c>
      <c r="T59" s="43">
        <f>(Dashboard!$C$18*tblHistory[[#This Row],[BIZD S]]+Dashboard!$C$19*tblHistory[[#This Row],[BKLN S]]+Dashboard!$C$20*tblHistory[[#This Row],[HY S]])/SUM(Dashboard!$C$18:$C$20)*100</f>
        <v/>
      </c>
      <c r="U59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59" s="43">
        <f>IFERROR(--(tblHistory[[#This Row],[Score]]&gt;=50),0)</f>
        <v/>
      </c>
      <c r="W59" s="43">
        <f>IFERROR(--AND(tblHistory[[#This Row],[Score]]&gt;=60,tblHistory[[#This Row],[BIZD S]]&gt;=0.8,tblHistory[[#This Row],[BKLN S]]&gt;=0.5),0)</f>
        <v/>
      </c>
      <c r="X59" s="43">
        <f>IFERROR(--AND(tblHistory[[#This Row],[Score]]&gt;=70,tblHistory[[#This Row],[SOX S]]&gt;=0.83,tblHistory[[#This Row],[AIQ S]]&gt;=0.8),0)</f>
        <v/>
      </c>
      <c r="Y59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59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59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59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59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60">
      <c r="A60" s="39" t="n">
        <v>46232</v>
      </c>
      <c r="B60" s="40" t="n">
        <v>31882.83</v>
      </c>
      <c r="C60" s="40" t="n">
        <v>12507.19</v>
      </c>
      <c r="D60" s="40" t="n">
        <v>55.21</v>
      </c>
      <c r="E60" s="40" t="n">
        <v>306.76</v>
      </c>
      <c r="F60" s="40" t="n">
        <v>40.94</v>
      </c>
      <c r="G60" s="40" t="n">
        <v>18.61</v>
      </c>
      <c r="H60" s="40" t="n">
        <v>21.27</v>
      </c>
      <c r="I60" s="41" t="n">
        <v>310</v>
      </c>
      <c r="J60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60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60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60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60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60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60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60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60" s="43">
        <f>(Dashboard!$C$13*tblHistory[[#This Row],[NDX S]]+Dashboard!$C$14*tblHistory[[#This Row],[SOX S]]+Dashboard!$C$15*tblHistory[[#This Row],[AIQ S]])/SUM(Dashboard!$C$13:$C$15)*100</f>
        <v/>
      </c>
      <c r="S60" s="43">
        <f>(Dashboard!$C$16*tblHistory[[#This Row],[ORCL S]]+Dashboard!$C$17*tblHistory[[#This Row],[CRWV S]])/SUM(Dashboard!$C$16:$C$17)*100</f>
        <v/>
      </c>
      <c r="T60" s="43">
        <f>(Dashboard!$C$18*tblHistory[[#This Row],[BIZD S]]+Dashboard!$C$19*tblHistory[[#This Row],[BKLN S]]+Dashboard!$C$20*tblHistory[[#This Row],[HY S]])/SUM(Dashboard!$C$18:$C$20)*100</f>
        <v/>
      </c>
      <c r="U60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60" s="43">
        <f>IFERROR(--(tblHistory[[#This Row],[Score]]&gt;=50),0)</f>
        <v/>
      </c>
      <c r="W60" s="43">
        <f>IFERROR(--AND(tblHistory[[#This Row],[Score]]&gt;=60,tblHistory[[#This Row],[BIZD S]]&gt;=0.8,tblHistory[[#This Row],[BKLN S]]&gt;=0.5),0)</f>
        <v/>
      </c>
      <c r="X60" s="43">
        <f>IFERROR(--AND(tblHistory[[#This Row],[Score]]&gt;=70,tblHistory[[#This Row],[SOX S]]&gt;=0.83,tblHistory[[#This Row],[AIQ S]]&gt;=0.8),0)</f>
        <v/>
      </c>
      <c r="Y60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60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60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60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60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61">
      <c r="A61" s="39" t="n">
        <v>46231</v>
      </c>
      <c r="B61" s="40" t="n">
        <v>31622.2</v>
      </c>
      <c r="C61" s="40" t="n">
        <v>12359.45</v>
      </c>
      <c r="D61" s="40" t="n">
        <v>55.02</v>
      </c>
      <c r="E61" s="40" t="n">
        <v>297.45</v>
      </c>
      <c r="F61" s="40" t="n">
        <v>39.49</v>
      </c>
      <c r="G61" s="40" t="n">
        <v>18.66</v>
      </c>
      <c r="H61" s="40" t="n">
        <v>21.24</v>
      </c>
      <c r="I61" s="41" t="n">
        <v>308</v>
      </c>
      <c r="J61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61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61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61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61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61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61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61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61" s="43">
        <f>(Dashboard!$C$13*tblHistory[[#This Row],[NDX S]]+Dashboard!$C$14*tblHistory[[#This Row],[SOX S]]+Dashboard!$C$15*tblHistory[[#This Row],[AIQ S]])/SUM(Dashboard!$C$13:$C$15)*100</f>
        <v/>
      </c>
      <c r="S61" s="43">
        <f>(Dashboard!$C$16*tblHistory[[#This Row],[ORCL S]]+Dashboard!$C$17*tblHistory[[#This Row],[CRWV S]])/SUM(Dashboard!$C$16:$C$17)*100</f>
        <v/>
      </c>
      <c r="T61" s="43">
        <f>(Dashboard!$C$18*tblHistory[[#This Row],[BIZD S]]+Dashboard!$C$19*tblHistory[[#This Row],[BKLN S]]+Dashboard!$C$20*tblHistory[[#This Row],[HY S]])/SUM(Dashboard!$C$18:$C$20)*100</f>
        <v/>
      </c>
      <c r="U61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61" s="43">
        <f>IFERROR(--(tblHistory[[#This Row],[Score]]&gt;=50),0)</f>
        <v/>
      </c>
      <c r="W61" s="43">
        <f>IFERROR(--AND(tblHistory[[#This Row],[Score]]&gt;=60,tblHistory[[#This Row],[BIZD S]]&gt;=0.8,tblHistory[[#This Row],[BKLN S]]&gt;=0.5),0)</f>
        <v/>
      </c>
      <c r="X61" s="43">
        <f>IFERROR(--AND(tblHistory[[#This Row],[Score]]&gt;=70,tblHistory[[#This Row],[SOX S]]&gt;=0.83,tblHistory[[#This Row],[AIQ S]]&gt;=0.8),0)</f>
        <v/>
      </c>
      <c r="Y61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61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61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61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61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62">
      <c r="A62" s="39" t="n">
        <v>46230</v>
      </c>
      <c r="B62" s="40" t="n">
        <v>31508.71</v>
      </c>
      <c r="C62" s="40" t="n">
        <v>12140.09</v>
      </c>
      <c r="D62" s="40" t="n">
        <v>55.05</v>
      </c>
      <c r="E62" s="40" t="n">
        <v>294.4</v>
      </c>
      <c r="F62" s="40" t="n">
        <v>38.5</v>
      </c>
      <c r="G62" s="40" t="n">
        <v>18.56</v>
      </c>
      <c r="H62" s="40" t="n">
        <v>21.21</v>
      </c>
      <c r="I62" s="41" t="n">
        <v>311</v>
      </c>
      <c r="J62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62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62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62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62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62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62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62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62" s="43">
        <f>(Dashboard!$C$13*tblHistory[[#This Row],[NDX S]]+Dashboard!$C$14*tblHistory[[#This Row],[SOX S]]+Dashboard!$C$15*tblHistory[[#This Row],[AIQ S]])/SUM(Dashboard!$C$13:$C$15)*100</f>
        <v/>
      </c>
      <c r="S62" s="43">
        <f>(Dashboard!$C$16*tblHistory[[#This Row],[ORCL S]]+Dashboard!$C$17*tblHistory[[#This Row],[CRWV S]])/SUM(Dashboard!$C$16:$C$17)*100</f>
        <v/>
      </c>
      <c r="T62" s="43">
        <f>(Dashboard!$C$18*tblHistory[[#This Row],[BIZD S]]+Dashboard!$C$19*tblHistory[[#This Row],[BKLN S]]+Dashboard!$C$20*tblHistory[[#This Row],[HY S]])/SUM(Dashboard!$C$18:$C$20)*100</f>
        <v/>
      </c>
      <c r="U62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62" s="43">
        <f>IFERROR(--(tblHistory[[#This Row],[Score]]&gt;=50),0)</f>
        <v/>
      </c>
      <c r="W62" s="43">
        <f>IFERROR(--AND(tblHistory[[#This Row],[Score]]&gt;=60,tblHistory[[#This Row],[BIZD S]]&gt;=0.8,tblHistory[[#This Row],[BKLN S]]&gt;=0.5),0)</f>
        <v/>
      </c>
      <c r="X62" s="43">
        <f>IFERROR(--AND(tblHistory[[#This Row],[Score]]&gt;=70,tblHistory[[#This Row],[SOX S]]&gt;=0.83,tblHistory[[#This Row],[AIQ S]]&gt;=0.8),0)</f>
        <v/>
      </c>
      <c r="Y62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62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62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62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62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63">
      <c r="A63" s="39" t="n">
        <v>46227</v>
      </c>
      <c r="B63" s="40" t="n">
        <v>31477.86</v>
      </c>
      <c r="C63" s="40" t="n">
        <v>11956.18</v>
      </c>
      <c r="D63" s="40" t="n">
        <v>55.84</v>
      </c>
      <c r="E63" s="40" t="n">
        <v>297.83</v>
      </c>
      <c r="F63" s="40" t="n">
        <v>39.18</v>
      </c>
      <c r="G63" s="40" t="n">
        <v>18.43</v>
      </c>
      <c r="H63" s="40" t="n">
        <v>21.19</v>
      </c>
      <c r="I63" s="41" t="n">
        <v>310</v>
      </c>
      <c r="J63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63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63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63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63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63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63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63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63" s="43">
        <f>(Dashboard!$C$13*tblHistory[[#This Row],[NDX S]]+Dashboard!$C$14*tblHistory[[#This Row],[SOX S]]+Dashboard!$C$15*tblHistory[[#This Row],[AIQ S]])/SUM(Dashboard!$C$13:$C$15)*100</f>
        <v/>
      </c>
      <c r="S63" s="43">
        <f>(Dashboard!$C$16*tblHistory[[#This Row],[ORCL S]]+Dashboard!$C$17*tblHistory[[#This Row],[CRWV S]])/SUM(Dashboard!$C$16:$C$17)*100</f>
        <v/>
      </c>
      <c r="T63" s="43">
        <f>(Dashboard!$C$18*tblHistory[[#This Row],[BIZD S]]+Dashboard!$C$19*tblHistory[[#This Row],[BKLN S]]+Dashboard!$C$20*tblHistory[[#This Row],[HY S]])/SUM(Dashboard!$C$18:$C$20)*100</f>
        <v/>
      </c>
      <c r="U63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63" s="43">
        <f>IFERROR(--(tblHistory[[#This Row],[Score]]&gt;=50),0)</f>
        <v/>
      </c>
      <c r="W63" s="43">
        <f>IFERROR(--AND(tblHistory[[#This Row],[Score]]&gt;=60,tblHistory[[#This Row],[BIZD S]]&gt;=0.8,tblHistory[[#This Row],[BKLN S]]&gt;=0.5),0)</f>
        <v/>
      </c>
      <c r="X63" s="43">
        <f>IFERROR(--AND(tblHistory[[#This Row],[Score]]&gt;=70,tblHistory[[#This Row],[SOX S]]&gt;=0.83,tblHistory[[#This Row],[AIQ S]]&gt;=0.8),0)</f>
        <v/>
      </c>
      <c r="Y63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63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63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63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63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64">
      <c r="A64" s="39" t="n">
        <v>46226</v>
      </c>
      <c r="B64" s="40" t="n">
        <v>31993.05</v>
      </c>
      <c r="C64" s="40" t="n">
        <v>11782.35</v>
      </c>
      <c r="D64" s="40" t="n">
        <v>54.04</v>
      </c>
      <c r="E64" s="40" t="n">
        <v>305.5</v>
      </c>
      <c r="F64" s="40" t="n">
        <v>38.16</v>
      </c>
      <c r="G64" s="40" t="n">
        <v>18.52</v>
      </c>
      <c r="H64" s="40" t="n">
        <v>21.17</v>
      </c>
      <c r="I64" s="41" t="n">
        <v>309</v>
      </c>
      <c r="J64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64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64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64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64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64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64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64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64" s="43">
        <f>(Dashboard!$C$13*tblHistory[[#This Row],[NDX S]]+Dashboard!$C$14*tblHistory[[#This Row],[SOX S]]+Dashboard!$C$15*tblHistory[[#This Row],[AIQ S]])/SUM(Dashboard!$C$13:$C$15)*100</f>
        <v/>
      </c>
      <c r="S64" s="43">
        <f>(Dashboard!$C$16*tblHistory[[#This Row],[ORCL S]]+Dashboard!$C$17*tblHistory[[#This Row],[CRWV S]])/SUM(Dashboard!$C$16:$C$17)*100</f>
        <v/>
      </c>
      <c r="T64" s="43">
        <f>(Dashboard!$C$18*tblHistory[[#This Row],[BIZD S]]+Dashboard!$C$19*tblHistory[[#This Row],[BKLN S]]+Dashboard!$C$20*tblHistory[[#This Row],[HY S]])/SUM(Dashboard!$C$18:$C$20)*100</f>
        <v/>
      </c>
      <c r="U64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64" s="43">
        <f>IFERROR(--(tblHistory[[#This Row],[Score]]&gt;=50),0)</f>
        <v/>
      </c>
      <c r="W64" s="43">
        <f>IFERROR(--AND(tblHistory[[#This Row],[Score]]&gt;=60,tblHistory[[#This Row],[BIZD S]]&gt;=0.8,tblHistory[[#This Row],[BKLN S]]&gt;=0.5),0)</f>
        <v/>
      </c>
      <c r="X64" s="43">
        <f>IFERROR(--AND(tblHistory[[#This Row],[Score]]&gt;=70,tblHistory[[#This Row],[SOX S]]&gt;=0.83,tblHistory[[#This Row],[AIQ S]]&gt;=0.8),0)</f>
        <v/>
      </c>
      <c r="Y64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64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64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64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64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65">
      <c r="A65" s="39" t="n">
        <v>46225</v>
      </c>
      <c r="B65" s="40" t="n">
        <v>32216.2</v>
      </c>
      <c r="C65" s="40" t="n">
        <v>11756.29</v>
      </c>
      <c r="D65" s="40" t="n">
        <v>54.98</v>
      </c>
      <c r="E65" s="40" t="n">
        <v>312.41</v>
      </c>
      <c r="F65" s="40" t="n">
        <v>37.03</v>
      </c>
      <c r="G65" s="40" t="n">
        <v>18.52</v>
      </c>
      <c r="H65" s="40" t="n">
        <v>21.1</v>
      </c>
      <c r="I65" s="41" t="n">
        <v>309</v>
      </c>
      <c r="J65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65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65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65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65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65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65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65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65" s="43">
        <f>(Dashboard!$C$13*tblHistory[[#This Row],[NDX S]]+Dashboard!$C$14*tblHistory[[#This Row],[SOX S]]+Dashboard!$C$15*tblHistory[[#This Row],[AIQ S]])/SUM(Dashboard!$C$13:$C$15)*100</f>
        <v/>
      </c>
      <c r="S65" s="43">
        <f>(Dashboard!$C$16*tblHistory[[#This Row],[ORCL S]]+Dashboard!$C$17*tblHistory[[#This Row],[CRWV S]])/SUM(Dashboard!$C$16:$C$17)*100</f>
        <v/>
      </c>
      <c r="T65" s="43">
        <f>(Dashboard!$C$18*tblHistory[[#This Row],[BIZD S]]+Dashboard!$C$19*tblHistory[[#This Row],[BKLN S]]+Dashboard!$C$20*tblHistory[[#This Row],[HY S]])/SUM(Dashboard!$C$18:$C$20)*100</f>
        <v/>
      </c>
      <c r="U65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65" s="43">
        <f>IFERROR(--(tblHistory[[#This Row],[Score]]&gt;=50),0)</f>
        <v/>
      </c>
      <c r="W65" s="43">
        <f>IFERROR(--AND(tblHistory[[#This Row],[Score]]&gt;=60,tblHistory[[#This Row],[BIZD S]]&gt;=0.8,tblHistory[[#This Row],[BKLN S]]&gt;=0.5),0)</f>
        <v/>
      </c>
      <c r="X65" s="43">
        <f>IFERROR(--AND(tblHistory[[#This Row],[Score]]&gt;=70,tblHistory[[#This Row],[SOX S]]&gt;=0.83,tblHistory[[#This Row],[AIQ S]]&gt;=0.8),0)</f>
        <v/>
      </c>
      <c r="Y65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65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65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65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65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66">
      <c r="A66" s="39" t="n">
        <v>46224</v>
      </c>
      <c r="B66" s="40" t="n">
        <v>32611.03</v>
      </c>
      <c r="C66" s="40" t="n">
        <v>11853.26</v>
      </c>
      <c r="D66" s="40" t="n">
        <v>56.47</v>
      </c>
      <c r="E66" s="40" t="n">
        <v>307.62</v>
      </c>
      <c r="F66" s="40" t="n">
        <v>40.21</v>
      </c>
      <c r="G66" s="40" t="n">
        <v>18.58</v>
      </c>
      <c r="H66" s="40" t="n">
        <v>21.06</v>
      </c>
      <c r="I66" s="41" t="n">
        <v>307</v>
      </c>
      <c r="J66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66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66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66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66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66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66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66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66" s="43">
        <f>(Dashboard!$C$13*tblHistory[[#This Row],[NDX S]]+Dashboard!$C$14*tblHistory[[#This Row],[SOX S]]+Dashboard!$C$15*tblHistory[[#This Row],[AIQ S]])/SUM(Dashboard!$C$13:$C$15)*100</f>
        <v/>
      </c>
      <c r="S66" s="43">
        <f>(Dashboard!$C$16*tblHistory[[#This Row],[ORCL S]]+Dashboard!$C$17*tblHistory[[#This Row],[CRWV S]])/SUM(Dashboard!$C$16:$C$17)*100</f>
        <v/>
      </c>
      <c r="T66" s="43">
        <f>(Dashboard!$C$18*tblHistory[[#This Row],[BIZD S]]+Dashboard!$C$19*tblHistory[[#This Row],[BKLN S]]+Dashboard!$C$20*tblHistory[[#This Row],[HY S]])/SUM(Dashboard!$C$18:$C$20)*100</f>
        <v/>
      </c>
      <c r="U66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66" s="43">
        <f>IFERROR(--(tblHistory[[#This Row],[Score]]&gt;=50),0)</f>
        <v/>
      </c>
      <c r="W66" s="43">
        <f>IFERROR(--AND(tblHistory[[#This Row],[Score]]&gt;=60,tblHistory[[#This Row],[BIZD S]]&gt;=0.8,tblHistory[[#This Row],[BKLN S]]&gt;=0.5),0)</f>
        <v/>
      </c>
      <c r="X66" s="43">
        <f>IFERROR(--AND(tblHistory[[#This Row],[Score]]&gt;=70,tblHistory[[#This Row],[SOX S]]&gt;=0.83,tblHistory[[#This Row],[AIQ S]]&gt;=0.8),0)</f>
        <v/>
      </c>
      <c r="Y66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66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66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66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66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67">
      <c r="A67" s="39" t="n">
        <v>46223</v>
      </c>
      <c r="B67" s="40" t="n">
        <v>33313.27</v>
      </c>
      <c r="C67" s="40" t="n">
        <v>11808.34</v>
      </c>
      <c r="D67" s="40" t="n">
        <v>57.14</v>
      </c>
      <c r="E67" s="40" t="n">
        <v>303.35</v>
      </c>
      <c r="F67" s="40" t="n">
        <v>39.79</v>
      </c>
      <c r="G67" s="40" t="n">
        <v>18.41</v>
      </c>
      <c r="H67" s="40" t="n">
        <v>21.02</v>
      </c>
      <c r="I67" s="41" t="n">
        <v>296</v>
      </c>
      <c r="J67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67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67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67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67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67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67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67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67" s="43">
        <f>(Dashboard!$C$13*tblHistory[[#This Row],[NDX S]]+Dashboard!$C$14*tblHistory[[#This Row],[SOX S]]+Dashboard!$C$15*tblHistory[[#This Row],[AIQ S]])/SUM(Dashboard!$C$13:$C$15)*100</f>
        <v/>
      </c>
      <c r="S67" s="43">
        <f>(Dashboard!$C$16*tblHistory[[#This Row],[ORCL S]]+Dashboard!$C$17*tblHistory[[#This Row],[CRWV S]])/SUM(Dashboard!$C$16:$C$17)*100</f>
        <v/>
      </c>
      <c r="T67" s="43">
        <f>(Dashboard!$C$18*tblHistory[[#This Row],[BIZD S]]+Dashboard!$C$19*tblHistory[[#This Row],[BKLN S]]+Dashboard!$C$20*tblHistory[[#This Row],[HY S]])/SUM(Dashboard!$C$18:$C$20)*100</f>
        <v/>
      </c>
      <c r="U67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67" s="43">
        <f>IFERROR(--(tblHistory[[#This Row],[Score]]&gt;=50),0)</f>
        <v/>
      </c>
      <c r="W67" s="43">
        <f>IFERROR(--AND(tblHistory[[#This Row],[Score]]&gt;=60,tblHistory[[#This Row],[BIZD S]]&gt;=0.8,tblHistory[[#This Row],[BKLN S]]&gt;=0.5),0)</f>
        <v/>
      </c>
      <c r="X67" s="43">
        <f>IFERROR(--AND(tblHistory[[#This Row],[Score]]&gt;=70,tblHistory[[#This Row],[SOX S]]&gt;=0.83,tblHistory[[#This Row],[AIQ S]]&gt;=0.8),0)</f>
        <v/>
      </c>
      <c r="Y67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67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67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67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67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68">
      <c r="A68" s="39" t="n">
        <v>46220</v>
      </c>
      <c r="B68" s="40" t="n">
        <v>34004.76</v>
      </c>
      <c r="C68" s="40" t="n">
        <v>11937.11</v>
      </c>
      <c r="D68" s="40" t="n">
        <v>56.93</v>
      </c>
      <c r="E68" s="40" t="n">
        <v>296.68</v>
      </c>
      <c r="F68" s="40" t="n">
        <v>40.88</v>
      </c>
      <c r="G68" s="40" t="n">
        <v>18.28</v>
      </c>
      <c r="H68" s="40" t="n">
        <v>21.08</v>
      </c>
      <c r="I68" s="41" t="n">
        <v>298</v>
      </c>
      <c r="J68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68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68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68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68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68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68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68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68" s="43">
        <f>(Dashboard!$C$13*tblHistory[[#This Row],[NDX S]]+Dashboard!$C$14*tblHistory[[#This Row],[SOX S]]+Dashboard!$C$15*tblHistory[[#This Row],[AIQ S]])/SUM(Dashboard!$C$13:$C$15)*100</f>
        <v/>
      </c>
      <c r="S68" s="43">
        <f>(Dashboard!$C$16*tblHistory[[#This Row],[ORCL S]]+Dashboard!$C$17*tblHistory[[#This Row],[CRWV S]])/SUM(Dashboard!$C$16:$C$17)*100</f>
        <v/>
      </c>
      <c r="T68" s="43">
        <f>(Dashboard!$C$18*tblHistory[[#This Row],[BIZD S]]+Dashboard!$C$19*tblHistory[[#This Row],[BKLN S]]+Dashboard!$C$20*tblHistory[[#This Row],[HY S]])/SUM(Dashboard!$C$18:$C$20)*100</f>
        <v/>
      </c>
      <c r="U68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68" s="43">
        <f>IFERROR(--(tblHistory[[#This Row],[Score]]&gt;=50),0)</f>
        <v/>
      </c>
      <c r="W68" s="43">
        <f>IFERROR(--AND(tblHistory[[#This Row],[Score]]&gt;=60,tblHistory[[#This Row],[BIZD S]]&gt;=0.8,tblHistory[[#This Row],[BKLN S]]&gt;=0.5),0)</f>
        <v/>
      </c>
      <c r="X68" s="43">
        <f>IFERROR(--AND(tblHistory[[#This Row],[Score]]&gt;=70,tblHistory[[#This Row],[SOX S]]&gt;=0.83,tblHistory[[#This Row],[AIQ S]]&gt;=0.8),0)</f>
        <v/>
      </c>
      <c r="Y68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68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68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68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68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69">
      <c r="A69" s="39" t="n">
        <v>46219</v>
      </c>
      <c r="B69" s="40" t="n">
        <v>33728.27</v>
      </c>
      <c r="C69" s="40" t="n">
        <v>12328.26</v>
      </c>
      <c r="D69" s="40" t="n">
        <v>55.9</v>
      </c>
      <c r="E69" s="40" t="n">
        <v>292.18</v>
      </c>
      <c r="F69" s="40" t="n">
        <v>42.49</v>
      </c>
      <c r="G69" s="40" t="n">
        <v>18.11</v>
      </c>
      <c r="H69" s="40" t="n">
        <v>21.11</v>
      </c>
      <c r="I69" s="41" t="n">
        <v>296</v>
      </c>
      <c r="J69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69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69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69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69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69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69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69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69" s="43">
        <f>(Dashboard!$C$13*tblHistory[[#This Row],[NDX S]]+Dashboard!$C$14*tblHistory[[#This Row],[SOX S]]+Dashboard!$C$15*tblHistory[[#This Row],[AIQ S]])/SUM(Dashboard!$C$13:$C$15)*100</f>
        <v/>
      </c>
      <c r="S69" s="43">
        <f>(Dashboard!$C$16*tblHistory[[#This Row],[ORCL S]]+Dashboard!$C$17*tblHistory[[#This Row],[CRWV S]])/SUM(Dashboard!$C$16:$C$17)*100</f>
        <v/>
      </c>
      <c r="T69" s="43">
        <f>(Dashboard!$C$18*tblHistory[[#This Row],[BIZD S]]+Dashboard!$C$19*tblHistory[[#This Row],[BKLN S]]+Dashboard!$C$20*tblHistory[[#This Row],[HY S]])/SUM(Dashboard!$C$18:$C$20)*100</f>
        <v/>
      </c>
      <c r="U69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69" s="43">
        <f>IFERROR(--(tblHistory[[#This Row],[Score]]&gt;=50),0)</f>
        <v/>
      </c>
      <c r="W69" s="43">
        <f>IFERROR(--AND(tblHistory[[#This Row],[Score]]&gt;=60,tblHistory[[#This Row],[BIZD S]]&gt;=0.8,tblHistory[[#This Row],[BKLN S]]&gt;=0.5),0)</f>
        <v/>
      </c>
      <c r="X69" s="43">
        <f>IFERROR(--AND(tblHistory[[#This Row],[Score]]&gt;=70,tblHistory[[#This Row],[SOX S]]&gt;=0.83,tblHistory[[#This Row],[AIQ S]]&gt;=0.8),0)</f>
        <v/>
      </c>
      <c r="Y69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69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69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69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69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70">
      <c r="A70" s="39" t="n">
        <v>46218</v>
      </c>
      <c r="B70" s="40" t="n">
        <v>33729.13</v>
      </c>
      <c r="C70" s="40" t="n">
        <v>12285.01</v>
      </c>
      <c r="D70" s="40" t="n">
        <v>56.66</v>
      </c>
      <c r="E70" s="40" t="n">
        <v>292.98</v>
      </c>
      <c r="F70" s="40" t="n">
        <v>40.01</v>
      </c>
      <c r="G70" s="40" t="n">
        <v>18.02</v>
      </c>
      <c r="H70" s="40" t="n">
        <v>21.15</v>
      </c>
      <c r="I70" s="41" t="n">
        <v>298</v>
      </c>
      <c r="J70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70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70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70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70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70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70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70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70" s="43">
        <f>(Dashboard!$C$13*tblHistory[[#This Row],[NDX S]]+Dashboard!$C$14*tblHistory[[#This Row],[SOX S]]+Dashboard!$C$15*tblHistory[[#This Row],[AIQ S]])/SUM(Dashboard!$C$13:$C$15)*100</f>
        <v/>
      </c>
      <c r="S70" s="43">
        <f>(Dashboard!$C$16*tblHistory[[#This Row],[ORCL S]]+Dashboard!$C$17*tblHistory[[#This Row],[CRWV S]])/SUM(Dashboard!$C$16:$C$17)*100</f>
        <v/>
      </c>
      <c r="T70" s="43">
        <f>(Dashboard!$C$18*tblHistory[[#This Row],[BIZD S]]+Dashboard!$C$19*tblHistory[[#This Row],[BKLN S]]+Dashboard!$C$20*tblHistory[[#This Row],[HY S]])/SUM(Dashboard!$C$18:$C$20)*100</f>
        <v/>
      </c>
      <c r="U70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70" s="43">
        <f>IFERROR(--(tblHistory[[#This Row],[Score]]&gt;=50),0)</f>
        <v/>
      </c>
      <c r="W70" s="43">
        <f>IFERROR(--AND(tblHistory[[#This Row],[Score]]&gt;=60,tblHistory[[#This Row],[BIZD S]]&gt;=0.8,tblHistory[[#This Row],[BKLN S]]&gt;=0.5),0)</f>
        <v/>
      </c>
      <c r="X70" s="43">
        <f>IFERROR(--AND(tblHistory[[#This Row],[Score]]&gt;=70,tblHistory[[#This Row],[SOX S]]&gt;=0.83,tblHistory[[#This Row],[AIQ S]]&gt;=0.8),0)</f>
        <v/>
      </c>
      <c r="Y70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70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70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70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70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71">
      <c r="A71" s="39" t="n">
        <v>46217</v>
      </c>
      <c r="B71" s="40" t="n">
        <v>34485.21</v>
      </c>
      <c r="C71" s="40" t="n">
        <v>12265.15</v>
      </c>
      <c r="D71" s="40" t="n">
        <v>57.31</v>
      </c>
      <c r="E71" s="40" t="n">
        <v>287.05</v>
      </c>
      <c r="F71" s="40" t="n">
        <v>38.65</v>
      </c>
      <c r="G71" s="40" t="n">
        <v>17.92</v>
      </c>
      <c r="H71" s="40" t="n">
        <v>21.16</v>
      </c>
      <c r="I71" s="41" t="n">
        <v>310</v>
      </c>
      <c r="J71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71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71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71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71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71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71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71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71" s="43">
        <f>(Dashboard!$C$13*tblHistory[[#This Row],[NDX S]]+Dashboard!$C$14*tblHistory[[#This Row],[SOX S]]+Dashboard!$C$15*tblHistory[[#This Row],[AIQ S]])/SUM(Dashboard!$C$13:$C$15)*100</f>
        <v/>
      </c>
      <c r="S71" s="43">
        <f>(Dashboard!$C$16*tblHistory[[#This Row],[ORCL S]]+Dashboard!$C$17*tblHistory[[#This Row],[CRWV S]])/SUM(Dashboard!$C$16:$C$17)*100</f>
        <v/>
      </c>
      <c r="T71" s="43">
        <f>(Dashboard!$C$18*tblHistory[[#This Row],[BIZD S]]+Dashboard!$C$19*tblHistory[[#This Row],[BKLN S]]+Dashboard!$C$20*tblHistory[[#This Row],[HY S]])/SUM(Dashboard!$C$18:$C$20)*100</f>
        <v/>
      </c>
      <c r="U71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71" s="43">
        <f>IFERROR(--(tblHistory[[#This Row],[Score]]&gt;=50),0)</f>
        <v/>
      </c>
      <c r="W71" s="43">
        <f>IFERROR(--AND(tblHistory[[#This Row],[Score]]&gt;=60,tblHistory[[#This Row],[BIZD S]]&gt;=0.8,tblHistory[[#This Row],[BKLN S]]&gt;=0.5),0)</f>
        <v/>
      </c>
      <c r="X71" s="43">
        <f>IFERROR(--AND(tblHistory[[#This Row],[Score]]&gt;=70,tblHistory[[#This Row],[SOX S]]&gt;=0.83,tblHistory[[#This Row],[AIQ S]]&gt;=0.8),0)</f>
        <v/>
      </c>
      <c r="Y71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71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71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71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71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72">
      <c r="A72" s="39" t="n">
        <v>46216</v>
      </c>
      <c r="B72" s="40" t="n">
        <v>34079.94</v>
      </c>
      <c r="C72" s="40" t="n">
        <v>12427.95</v>
      </c>
      <c r="D72" s="40" t="n">
        <v>57.35</v>
      </c>
      <c r="E72" s="40" t="n">
        <v>288.41</v>
      </c>
      <c r="F72" s="40" t="n">
        <v>39.46</v>
      </c>
      <c r="G72" s="40" t="n">
        <v>17.83</v>
      </c>
      <c r="H72" s="40" t="n">
        <v>21.15</v>
      </c>
      <c r="I72" s="41" t="n">
        <v>312</v>
      </c>
      <c r="J72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72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72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72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72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72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72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72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72" s="43">
        <f>(Dashboard!$C$13*tblHistory[[#This Row],[NDX S]]+Dashboard!$C$14*tblHistory[[#This Row],[SOX S]]+Dashboard!$C$15*tblHistory[[#This Row],[AIQ S]])/SUM(Dashboard!$C$13:$C$15)*100</f>
        <v/>
      </c>
      <c r="S72" s="43">
        <f>(Dashboard!$C$16*tblHistory[[#This Row],[ORCL S]]+Dashboard!$C$17*tblHistory[[#This Row],[CRWV S]])/SUM(Dashboard!$C$16:$C$17)*100</f>
        <v/>
      </c>
      <c r="T72" s="43">
        <f>(Dashboard!$C$18*tblHistory[[#This Row],[BIZD S]]+Dashboard!$C$19*tblHistory[[#This Row],[BKLN S]]+Dashboard!$C$20*tblHistory[[#This Row],[HY S]])/SUM(Dashboard!$C$18:$C$20)*100</f>
        <v/>
      </c>
      <c r="U72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72" s="43">
        <f>IFERROR(--(tblHistory[[#This Row],[Score]]&gt;=50),0)</f>
        <v/>
      </c>
      <c r="W72" s="43">
        <f>IFERROR(--AND(tblHistory[[#This Row],[Score]]&gt;=60,tblHistory[[#This Row],[BIZD S]]&gt;=0.8,tblHistory[[#This Row],[BKLN S]]&gt;=0.5),0)</f>
        <v/>
      </c>
      <c r="X72" s="43">
        <f>IFERROR(--AND(tblHistory[[#This Row],[Score]]&gt;=70,tblHistory[[#This Row],[SOX S]]&gt;=0.83,tblHistory[[#This Row],[AIQ S]]&gt;=0.8),0)</f>
        <v/>
      </c>
      <c r="Y72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72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72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72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72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73">
      <c r="A73" s="39" t="n">
        <v>46213</v>
      </c>
      <c r="B73" s="40" t="n">
        <v>33741.99</v>
      </c>
      <c r="C73" s="40" t="n">
        <v>12371.38</v>
      </c>
      <c r="D73" s="40" t="n">
        <v>57.03</v>
      </c>
      <c r="E73" s="40" t="n">
        <v>286.04</v>
      </c>
      <c r="F73" s="40" t="n">
        <v>42.35</v>
      </c>
      <c r="G73" s="40" t="n">
        <v>17.73</v>
      </c>
      <c r="H73" s="40" t="n">
        <v>21.12</v>
      </c>
      <c r="I73" s="41" t="n">
        <v>312</v>
      </c>
      <c r="J73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73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73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73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73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73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73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73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73" s="43">
        <f>(Dashboard!$C$13*tblHistory[[#This Row],[NDX S]]+Dashboard!$C$14*tblHistory[[#This Row],[SOX S]]+Dashboard!$C$15*tblHistory[[#This Row],[AIQ S]])/SUM(Dashboard!$C$13:$C$15)*100</f>
        <v/>
      </c>
      <c r="S73" s="43">
        <f>(Dashboard!$C$16*tblHistory[[#This Row],[ORCL S]]+Dashboard!$C$17*tblHistory[[#This Row],[CRWV S]])/SUM(Dashboard!$C$16:$C$17)*100</f>
        <v/>
      </c>
      <c r="T73" s="43">
        <f>(Dashboard!$C$18*tblHistory[[#This Row],[BIZD S]]+Dashboard!$C$19*tblHistory[[#This Row],[BKLN S]]+Dashboard!$C$20*tblHistory[[#This Row],[HY S]])/SUM(Dashboard!$C$18:$C$20)*100</f>
        <v/>
      </c>
      <c r="U73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73" s="43">
        <f>IFERROR(--(tblHistory[[#This Row],[Score]]&gt;=50),0)</f>
        <v/>
      </c>
      <c r="W73" s="43">
        <f>IFERROR(--AND(tblHistory[[#This Row],[Score]]&gt;=60,tblHistory[[#This Row],[BIZD S]]&gt;=0.8,tblHistory[[#This Row],[BKLN S]]&gt;=0.5),0)</f>
        <v/>
      </c>
      <c r="X73" s="43">
        <f>IFERROR(--AND(tblHistory[[#This Row],[Score]]&gt;=70,tblHistory[[#This Row],[SOX S]]&gt;=0.83,tblHistory[[#This Row],[AIQ S]]&gt;=0.8),0)</f>
        <v/>
      </c>
      <c r="Y73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73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73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73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73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74">
      <c r="A74" s="39" t="n">
        <v>46212</v>
      </c>
      <c r="B74" s="40" t="n">
        <v>34466.13</v>
      </c>
      <c r="C74" s="40" t="n">
        <v>12044.14</v>
      </c>
      <c r="D74" s="40" t="n">
        <v>56.45</v>
      </c>
      <c r="E74" s="40" t="n">
        <v>283.66</v>
      </c>
      <c r="F74" s="40" t="n">
        <v>39.35</v>
      </c>
      <c r="G74" s="40" t="n">
        <v>17.62</v>
      </c>
      <c r="H74" s="40" t="n">
        <v>21.14</v>
      </c>
      <c r="I74" s="41" t="n">
        <v>323</v>
      </c>
      <c r="J74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74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74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74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74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74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74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74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74" s="43">
        <f>(Dashboard!$C$13*tblHistory[[#This Row],[NDX S]]+Dashboard!$C$14*tblHistory[[#This Row],[SOX S]]+Dashboard!$C$15*tblHistory[[#This Row],[AIQ S]])/SUM(Dashboard!$C$13:$C$15)*100</f>
        <v/>
      </c>
      <c r="S74" s="43">
        <f>(Dashboard!$C$16*tblHistory[[#This Row],[ORCL S]]+Dashboard!$C$17*tblHistory[[#This Row],[CRWV S]])/SUM(Dashboard!$C$16:$C$17)*100</f>
        <v/>
      </c>
      <c r="T74" s="43">
        <f>(Dashboard!$C$18*tblHistory[[#This Row],[BIZD S]]+Dashboard!$C$19*tblHistory[[#This Row],[BKLN S]]+Dashboard!$C$20*tblHistory[[#This Row],[HY S]])/SUM(Dashboard!$C$18:$C$20)*100</f>
        <v/>
      </c>
      <c r="U74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74" s="43">
        <f>IFERROR(--(tblHistory[[#This Row],[Score]]&gt;=50),0)</f>
        <v/>
      </c>
      <c r="W74" s="43">
        <f>IFERROR(--AND(tblHistory[[#This Row],[Score]]&gt;=60,tblHistory[[#This Row],[BIZD S]]&gt;=0.8,tblHistory[[#This Row],[BKLN S]]&gt;=0.5),0)</f>
        <v/>
      </c>
      <c r="X74" s="43">
        <f>IFERROR(--AND(tblHistory[[#This Row],[Score]]&gt;=70,tblHistory[[#This Row],[SOX S]]&gt;=0.83,tblHistory[[#This Row],[AIQ S]]&gt;=0.8),0)</f>
        <v/>
      </c>
      <c r="Y74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74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74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74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74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75">
      <c r="A75" s="39" t="n">
        <v>46211</v>
      </c>
      <c r="B75" s="40" t="n">
        <v>34522.12</v>
      </c>
      <c r="C75" s="40" t="n">
        <v>11955.38</v>
      </c>
      <c r="D75" s="40" t="n">
        <v>56.96</v>
      </c>
      <c r="E75" s="40" t="n">
        <v>284.11</v>
      </c>
      <c r="F75" s="40" t="n">
        <v>40.93</v>
      </c>
      <c r="G75" s="40" t="n">
        <v>17.39</v>
      </c>
      <c r="H75" s="40" t="n">
        <v>21.16</v>
      </c>
      <c r="I75" s="41" t="n">
        <v>323</v>
      </c>
      <c r="J75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75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75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75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75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75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75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75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75" s="43">
        <f>(Dashboard!$C$13*tblHistory[[#This Row],[NDX S]]+Dashboard!$C$14*tblHistory[[#This Row],[SOX S]]+Dashboard!$C$15*tblHistory[[#This Row],[AIQ S]])/SUM(Dashboard!$C$13:$C$15)*100</f>
        <v/>
      </c>
      <c r="S75" s="43">
        <f>(Dashboard!$C$16*tblHistory[[#This Row],[ORCL S]]+Dashboard!$C$17*tblHistory[[#This Row],[CRWV S]])/SUM(Dashboard!$C$16:$C$17)*100</f>
        <v/>
      </c>
      <c r="T75" s="43">
        <f>(Dashboard!$C$18*tblHistory[[#This Row],[BIZD S]]+Dashboard!$C$19*tblHistory[[#This Row],[BKLN S]]+Dashboard!$C$20*tblHistory[[#This Row],[HY S]])/SUM(Dashboard!$C$18:$C$20)*100</f>
        <v/>
      </c>
      <c r="U75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75" s="43">
        <f>IFERROR(--(tblHistory[[#This Row],[Score]]&gt;=50),0)</f>
        <v/>
      </c>
      <c r="W75" s="43">
        <f>IFERROR(--AND(tblHistory[[#This Row],[Score]]&gt;=60,tblHistory[[#This Row],[BIZD S]]&gt;=0.8,tblHistory[[#This Row],[BKLN S]]&gt;=0.5),0)</f>
        <v/>
      </c>
      <c r="X75" s="43">
        <f>IFERROR(--AND(tblHistory[[#This Row],[Score]]&gt;=70,tblHistory[[#This Row],[SOX S]]&gt;=0.83,tblHistory[[#This Row],[AIQ S]]&gt;=0.8),0)</f>
        <v/>
      </c>
      <c r="Y75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75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75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75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75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76">
      <c r="A76" s="39" t="n">
        <v>46210</v>
      </c>
      <c r="B76" s="40" t="n">
        <v>34868.65</v>
      </c>
      <c r="C76" s="40" t="n">
        <v>12179.57</v>
      </c>
      <c r="D76" s="40" t="n">
        <v>58.16</v>
      </c>
      <c r="E76" s="40" t="n">
        <v>287.04</v>
      </c>
      <c r="F76" s="40" t="n">
        <v>39.05</v>
      </c>
      <c r="G76" s="40" t="n">
        <v>17.49</v>
      </c>
      <c r="H76" s="40" t="n">
        <v>21.1</v>
      </c>
      <c r="I76" s="41" t="n">
        <v>307</v>
      </c>
      <c r="J76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76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76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76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76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76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76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76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76" s="43">
        <f>(Dashboard!$C$13*tblHistory[[#This Row],[NDX S]]+Dashboard!$C$14*tblHistory[[#This Row],[SOX S]]+Dashboard!$C$15*tblHistory[[#This Row],[AIQ S]])/SUM(Dashboard!$C$13:$C$15)*100</f>
        <v/>
      </c>
      <c r="S76" s="43">
        <f>(Dashboard!$C$16*tblHistory[[#This Row],[ORCL S]]+Dashboard!$C$17*tblHistory[[#This Row],[CRWV S]])/SUM(Dashboard!$C$16:$C$17)*100</f>
        <v/>
      </c>
      <c r="T76" s="43">
        <f>(Dashboard!$C$18*tblHistory[[#This Row],[BIZD S]]+Dashboard!$C$19*tblHistory[[#This Row],[BKLN S]]+Dashboard!$C$20*tblHistory[[#This Row],[HY S]])/SUM(Dashboard!$C$18:$C$20)*100</f>
        <v/>
      </c>
      <c r="U76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76" s="43">
        <f>IFERROR(--(tblHistory[[#This Row],[Score]]&gt;=50),0)</f>
        <v/>
      </c>
      <c r="W76" s="43">
        <f>IFERROR(--AND(tblHistory[[#This Row],[Score]]&gt;=60,tblHistory[[#This Row],[BIZD S]]&gt;=0.8,tblHistory[[#This Row],[BKLN S]]&gt;=0.5),0)</f>
        <v/>
      </c>
      <c r="X76" s="43">
        <f>IFERROR(--AND(tblHistory[[#This Row],[Score]]&gt;=70,tblHistory[[#This Row],[SOX S]]&gt;=0.83,tblHistory[[#This Row],[AIQ S]]&gt;=0.8),0)</f>
        <v/>
      </c>
      <c r="Y76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76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76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76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76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77">
      <c r="A77" s="39" t="n">
        <v>46209</v>
      </c>
      <c r="B77" s="40" t="n">
        <v>34393.47</v>
      </c>
      <c r="C77" s="40" t="n">
        <v>12019.44</v>
      </c>
      <c r="D77" s="40" t="n">
        <v>58.87</v>
      </c>
      <c r="E77" s="40" t="n">
        <v>280.5</v>
      </c>
      <c r="F77" s="40" t="n">
        <v>37.58</v>
      </c>
      <c r="G77" s="40" t="n">
        <v>17.44</v>
      </c>
      <c r="H77" s="40" t="n">
        <v>21.15</v>
      </c>
      <c r="I77" s="41" t="n">
        <v>304</v>
      </c>
      <c r="J77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77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77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77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77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77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77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77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77" s="43">
        <f>(Dashboard!$C$13*tblHistory[[#This Row],[NDX S]]+Dashboard!$C$14*tblHistory[[#This Row],[SOX S]]+Dashboard!$C$15*tblHistory[[#This Row],[AIQ S]])/SUM(Dashboard!$C$13:$C$15)*100</f>
        <v/>
      </c>
      <c r="S77" s="43">
        <f>(Dashboard!$C$16*tblHistory[[#This Row],[ORCL S]]+Dashboard!$C$17*tblHistory[[#This Row],[CRWV S]])/SUM(Dashboard!$C$16:$C$17)*100</f>
        <v/>
      </c>
      <c r="T77" s="43">
        <f>(Dashboard!$C$18*tblHistory[[#This Row],[BIZD S]]+Dashboard!$C$19*tblHistory[[#This Row],[BKLN S]]+Dashboard!$C$20*tblHistory[[#This Row],[HY S]])/SUM(Dashboard!$C$18:$C$20)*100</f>
        <v/>
      </c>
      <c r="U77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77" s="43">
        <f>IFERROR(--(tblHistory[[#This Row],[Score]]&gt;=50),0)</f>
        <v/>
      </c>
      <c r="W77" s="43">
        <f>IFERROR(--AND(tblHistory[[#This Row],[Score]]&gt;=60,tblHistory[[#This Row],[BIZD S]]&gt;=0.8,tblHistory[[#This Row],[BKLN S]]&gt;=0.5),0)</f>
        <v/>
      </c>
      <c r="X77" s="43">
        <f>IFERROR(--AND(tblHistory[[#This Row],[Score]]&gt;=70,tblHistory[[#This Row],[SOX S]]&gt;=0.83,tblHistory[[#This Row],[AIQ S]]&gt;=0.8),0)</f>
        <v/>
      </c>
      <c r="Y77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77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77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77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77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78">
      <c r="A78" s="39" t="n">
        <v>46206</v>
      </c>
      <c r="B78" s="40" t="n">
        <v>34160.67</v>
      </c>
      <c r="C78" s="40" t="n">
        <v>12313.69</v>
      </c>
      <c r="D78" s="40" t="n">
        <v>58.63</v>
      </c>
      <c r="E78" s="40" t="n">
        <v>281</v>
      </c>
      <c r="F78" s="40" t="n">
        <v>34.31</v>
      </c>
      <c r="G78" s="40" t="n">
        <v>17.08</v>
      </c>
      <c r="H78" s="40" t="n">
        <v>21.12</v>
      </c>
      <c r="I78" s="41" t="n">
        <v>298</v>
      </c>
      <c r="J78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78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78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78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78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78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78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78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78" s="43">
        <f>(Dashboard!$C$13*tblHistory[[#This Row],[NDX S]]+Dashboard!$C$14*tblHistory[[#This Row],[SOX S]]+Dashboard!$C$15*tblHistory[[#This Row],[AIQ S]])/SUM(Dashboard!$C$13:$C$15)*100</f>
        <v/>
      </c>
      <c r="S78" s="43">
        <f>(Dashboard!$C$16*tblHistory[[#This Row],[ORCL S]]+Dashboard!$C$17*tblHistory[[#This Row],[CRWV S]])/SUM(Dashboard!$C$16:$C$17)*100</f>
        <v/>
      </c>
      <c r="T78" s="43">
        <f>(Dashboard!$C$18*tblHistory[[#This Row],[BIZD S]]+Dashboard!$C$19*tblHistory[[#This Row],[BKLN S]]+Dashboard!$C$20*tblHistory[[#This Row],[HY S]])/SUM(Dashboard!$C$18:$C$20)*100</f>
        <v/>
      </c>
      <c r="U78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78" s="43">
        <f>IFERROR(--(tblHistory[[#This Row],[Score]]&gt;=50),0)</f>
        <v/>
      </c>
      <c r="W78" s="43">
        <f>IFERROR(--AND(tblHistory[[#This Row],[Score]]&gt;=60,tblHistory[[#This Row],[BIZD S]]&gt;=0.8,tblHistory[[#This Row],[BKLN S]]&gt;=0.5),0)</f>
        <v/>
      </c>
      <c r="X78" s="43">
        <f>IFERROR(--AND(tblHistory[[#This Row],[Score]]&gt;=70,tblHistory[[#This Row],[SOX S]]&gt;=0.83,tblHistory[[#This Row],[AIQ S]]&gt;=0.8),0)</f>
        <v/>
      </c>
      <c r="Y78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78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78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78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78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79">
      <c r="A79" s="39" t="n">
        <v>46205</v>
      </c>
      <c r="B79" s="40" t="n">
        <v>33399.51</v>
      </c>
      <c r="C79" s="40" t="n">
        <v>12157.2</v>
      </c>
      <c r="D79" s="40" t="n">
        <v>59.57</v>
      </c>
      <c r="E79" s="40" t="n">
        <v>282.62</v>
      </c>
      <c r="F79" s="40" t="n">
        <v>35.23</v>
      </c>
      <c r="G79" s="40" t="n">
        <v>17.05</v>
      </c>
      <c r="H79" s="40" t="n">
        <v>21.14</v>
      </c>
      <c r="I79" s="41" t="n">
        <v>293</v>
      </c>
      <c r="J79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79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79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79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79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79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79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79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79" s="43">
        <f>(Dashboard!$C$13*tblHistory[[#This Row],[NDX S]]+Dashboard!$C$14*tblHistory[[#This Row],[SOX S]]+Dashboard!$C$15*tblHistory[[#This Row],[AIQ S]])/SUM(Dashboard!$C$13:$C$15)*100</f>
        <v/>
      </c>
      <c r="S79" s="43">
        <f>(Dashboard!$C$16*tblHistory[[#This Row],[ORCL S]]+Dashboard!$C$17*tblHistory[[#This Row],[CRWV S]])/SUM(Dashboard!$C$16:$C$17)*100</f>
        <v/>
      </c>
      <c r="T79" s="43">
        <f>(Dashboard!$C$18*tblHistory[[#This Row],[BIZD S]]+Dashboard!$C$19*tblHistory[[#This Row],[BKLN S]]+Dashboard!$C$20*tblHistory[[#This Row],[HY S]])/SUM(Dashboard!$C$18:$C$20)*100</f>
        <v/>
      </c>
      <c r="U79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79" s="43">
        <f>IFERROR(--(tblHistory[[#This Row],[Score]]&gt;=50),0)</f>
        <v/>
      </c>
      <c r="W79" s="43">
        <f>IFERROR(--AND(tblHistory[[#This Row],[Score]]&gt;=60,tblHistory[[#This Row],[BIZD S]]&gt;=0.8,tblHistory[[#This Row],[BKLN S]]&gt;=0.5),0)</f>
        <v/>
      </c>
      <c r="X79" s="43">
        <f>IFERROR(--AND(tblHistory[[#This Row],[Score]]&gt;=70,tblHistory[[#This Row],[SOX S]]&gt;=0.83,tblHistory[[#This Row],[AIQ S]]&gt;=0.8),0)</f>
        <v/>
      </c>
      <c r="Y79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79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79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79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79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80">
      <c r="A80" s="39" t="n">
        <v>46204</v>
      </c>
      <c r="B80" s="40" t="n">
        <v>33951.84</v>
      </c>
      <c r="C80" s="40" t="n">
        <v>12419.12</v>
      </c>
      <c r="D80" s="40" t="n">
        <v>59.47</v>
      </c>
      <c r="E80" s="40" t="n">
        <v>275.94</v>
      </c>
      <c r="F80" s="40" t="n">
        <v>35.74</v>
      </c>
      <c r="G80" s="40" t="n">
        <v>17.1</v>
      </c>
      <c r="H80" s="40" t="n">
        <v>21.16</v>
      </c>
      <c r="I80" s="41" t="n">
        <v>307</v>
      </c>
      <c r="J80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80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80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80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80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80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80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80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80" s="43">
        <f>(Dashboard!$C$13*tblHistory[[#This Row],[NDX S]]+Dashboard!$C$14*tblHistory[[#This Row],[SOX S]]+Dashboard!$C$15*tblHistory[[#This Row],[AIQ S]])/SUM(Dashboard!$C$13:$C$15)*100</f>
        <v/>
      </c>
      <c r="S80" s="43">
        <f>(Dashboard!$C$16*tblHistory[[#This Row],[ORCL S]]+Dashboard!$C$17*tblHistory[[#This Row],[CRWV S]])/SUM(Dashboard!$C$16:$C$17)*100</f>
        <v/>
      </c>
      <c r="T80" s="43">
        <f>(Dashboard!$C$18*tblHistory[[#This Row],[BIZD S]]+Dashboard!$C$19*tblHistory[[#This Row],[BKLN S]]+Dashboard!$C$20*tblHistory[[#This Row],[HY S]])/SUM(Dashboard!$C$18:$C$20)*100</f>
        <v/>
      </c>
      <c r="U80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80" s="43">
        <f>IFERROR(--(tblHistory[[#This Row],[Score]]&gt;=50),0)</f>
        <v/>
      </c>
      <c r="W80" s="43">
        <f>IFERROR(--AND(tblHistory[[#This Row],[Score]]&gt;=60,tblHistory[[#This Row],[BIZD S]]&gt;=0.8,tblHistory[[#This Row],[BKLN S]]&gt;=0.5),0)</f>
        <v/>
      </c>
      <c r="X80" s="43">
        <f>IFERROR(--AND(tblHistory[[#This Row],[Score]]&gt;=70,tblHistory[[#This Row],[SOX S]]&gt;=0.83,tblHistory[[#This Row],[AIQ S]]&gt;=0.8),0)</f>
        <v/>
      </c>
      <c r="Y80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80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80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80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80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81">
      <c r="A81" s="39" t="n">
        <v>46203</v>
      </c>
      <c r="B81" s="40" t="n">
        <v>34026.12</v>
      </c>
      <c r="C81" s="40" t="n">
        <v>12555.66</v>
      </c>
      <c r="D81" s="40" t="n">
        <v>57.97</v>
      </c>
      <c r="E81" s="40" t="n">
        <v>270.68</v>
      </c>
      <c r="F81" s="40" t="n">
        <v>34.32</v>
      </c>
      <c r="G81" s="40" t="n">
        <v>17.1</v>
      </c>
      <c r="H81" s="40" t="n">
        <v>21.19</v>
      </c>
      <c r="I81" s="41" t="n">
        <v>306</v>
      </c>
      <c r="J81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81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81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81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81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81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81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81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81" s="43">
        <f>(Dashboard!$C$13*tblHistory[[#This Row],[NDX S]]+Dashboard!$C$14*tblHistory[[#This Row],[SOX S]]+Dashboard!$C$15*tblHistory[[#This Row],[AIQ S]])/SUM(Dashboard!$C$13:$C$15)*100</f>
        <v/>
      </c>
      <c r="S81" s="43">
        <f>(Dashboard!$C$16*tblHistory[[#This Row],[ORCL S]]+Dashboard!$C$17*tblHistory[[#This Row],[CRWV S]])/SUM(Dashboard!$C$16:$C$17)*100</f>
        <v/>
      </c>
      <c r="T81" s="43">
        <f>(Dashboard!$C$18*tblHistory[[#This Row],[BIZD S]]+Dashboard!$C$19*tblHistory[[#This Row],[BKLN S]]+Dashboard!$C$20*tblHistory[[#This Row],[HY S]])/SUM(Dashboard!$C$18:$C$20)*100</f>
        <v/>
      </c>
      <c r="U81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81" s="43">
        <f>IFERROR(--(tblHistory[[#This Row],[Score]]&gt;=50),0)</f>
        <v/>
      </c>
      <c r="W81" s="43">
        <f>IFERROR(--AND(tblHistory[[#This Row],[Score]]&gt;=60,tblHistory[[#This Row],[BIZD S]]&gt;=0.8,tblHistory[[#This Row],[BKLN S]]&gt;=0.5),0)</f>
        <v/>
      </c>
      <c r="X81" s="43">
        <f>IFERROR(--AND(tblHistory[[#This Row],[Score]]&gt;=70,tblHistory[[#This Row],[SOX S]]&gt;=0.83,tblHistory[[#This Row],[AIQ S]]&gt;=0.8),0)</f>
        <v/>
      </c>
      <c r="Y81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81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81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81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81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82">
      <c r="A82" s="39" t="n">
        <v>46202</v>
      </c>
      <c r="B82" s="40" t="n">
        <v>34027.96</v>
      </c>
      <c r="C82" s="40" t="n">
        <v>12689.96</v>
      </c>
      <c r="D82" s="40" t="n">
        <v>58.31</v>
      </c>
      <c r="E82" s="40" t="n">
        <v>265.23</v>
      </c>
      <c r="F82" s="40" t="n">
        <v>34.42</v>
      </c>
      <c r="G82" s="40" t="n">
        <v>17.19</v>
      </c>
      <c r="H82" s="40" t="n">
        <v>21.23</v>
      </c>
      <c r="I82" s="41" t="n">
        <v>318</v>
      </c>
      <c r="J82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82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82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82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82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82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82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82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82" s="43">
        <f>(Dashboard!$C$13*tblHistory[[#This Row],[NDX S]]+Dashboard!$C$14*tblHistory[[#This Row],[SOX S]]+Dashboard!$C$15*tblHistory[[#This Row],[AIQ S]])/SUM(Dashboard!$C$13:$C$15)*100</f>
        <v/>
      </c>
      <c r="S82" s="43">
        <f>(Dashboard!$C$16*tblHistory[[#This Row],[ORCL S]]+Dashboard!$C$17*tblHistory[[#This Row],[CRWV S]])/SUM(Dashboard!$C$16:$C$17)*100</f>
        <v/>
      </c>
      <c r="T82" s="43">
        <f>(Dashboard!$C$18*tblHistory[[#This Row],[BIZD S]]+Dashboard!$C$19*tblHistory[[#This Row],[BKLN S]]+Dashboard!$C$20*tblHistory[[#This Row],[HY S]])/SUM(Dashboard!$C$18:$C$20)*100</f>
        <v/>
      </c>
      <c r="U82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82" s="43">
        <f>IFERROR(--(tblHistory[[#This Row],[Score]]&gt;=50),0)</f>
        <v/>
      </c>
      <c r="W82" s="43">
        <f>IFERROR(--AND(tblHistory[[#This Row],[Score]]&gt;=60,tblHistory[[#This Row],[BIZD S]]&gt;=0.8,tblHistory[[#This Row],[BKLN S]]&gt;=0.5),0)</f>
        <v/>
      </c>
      <c r="X82" s="43">
        <f>IFERROR(--AND(tblHistory[[#This Row],[Score]]&gt;=70,tblHistory[[#This Row],[SOX S]]&gt;=0.83,tblHistory[[#This Row],[AIQ S]]&gt;=0.8),0)</f>
        <v/>
      </c>
      <c r="Y82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82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82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82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82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83">
      <c r="A83" s="39" t="n">
        <v>46199</v>
      </c>
      <c r="B83" s="40" t="n">
        <v>33777.2</v>
      </c>
      <c r="C83" s="40" t="n">
        <v>12860.58</v>
      </c>
      <c r="D83" s="40" t="n">
        <v>59.76</v>
      </c>
      <c r="E83" s="40" t="n">
        <v>257.92</v>
      </c>
      <c r="F83" s="40" t="n">
        <v>36.06</v>
      </c>
      <c r="G83" s="40" t="n">
        <v>17.22</v>
      </c>
      <c r="H83" s="40" t="n">
        <v>21.21</v>
      </c>
      <c r="I83" s="41" t="n">
        <v>311</v>
      </c>
      <c r="J83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83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83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83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83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83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83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83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83" s="43">
        <f>(Dashboard!$C$13*tblHistory[[#This Row],[NDX S]]+Dashboard!$C$14*tblHistory[[#This Row],[SOX S]]+Dashboard!$C$15*tblHistory[[#This Row],[AIQ S]])/SUM(Dashboard!$C$13:$C$15)*100</f>
        <v/>
      </c>
      <c r="S83" s="43">
        <f>(Dashboard!$C$16*tblHistory[[#This Row],[ORCL S]]+Dashboard!$C$17*tblHistory[[#This Row],[CRWV S]])/SUM(Dashboard!$C$16:$C$17)*100</f>
        <v/>
      </c>
      <c r="T83" s="43">
        <f>(Dashboard!$C$18*tblHistory[[#This Row],[BIZD S]]+Dashboard!$C$19*tblHistory[[#This Row],[BKLN S]]+Dashboard!$C$20*tblHistory[[#This Row],[HY S]])/SUM(Dashboard!$C$18:$C$20)*100</f>
        <v/>
      </c>
      <c r="U83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83" s="43">
        <f>IFERROR(--(tblHistory[[#This Row],[Score]]&gt;=50),0)</f>
        <v/>
      </c>
      <c r="W83" s="43">
        <f>IFERROR(--AND(tblHistory[[#This Row],[Score]]&gt;=60,tblHistory[[#This Row],[BIZD S]]&gt;=0.8,tblHistory[[#This Row],[BKLN S]]&gt;=0.5),0)</f>
        <v/>
      </c>
      <c r="X83" s="43">
        <f>IFERROR(--AND(tblHistory[[#This Row],[Score]]&gt;=70,tblHistory[[#This Row],[SOX S]]&gt;=0.83,tblHistory[[#This Row],[AIQ S]]&gt;=0.8),0)</f>
        <v/>
      </c>
      <c r="Y83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83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83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83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83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84">
      <c r="A84" s="39" t="n">
        <v>46198</v>
      </c>
      <c r="B84" s="40" t="n">
        <v>33527.46</v>
      </c>
      <c r="C84" s="40" t="n">
        <v>13104.24</v>
      </c>
      <c r="D84" s="40" t="n">
        <v>59.67</v>
      </c>
      <c r="E84" s="40" t="n">
        <v>260.27</v>
      </c>
      <c r="F84" s="40" t="n">
        <v>34.8</v>
      </c>
      <c r="G84" s="40" t="n">
        <v>17.23</v>
      </c>
      <c r="H84" s="40" t="n">
        <v>21.21</v>
      </c>
      <c r="I84" s="41" t="n">
        <v>313</v>
      </c>
      <c r="J84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84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84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84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84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84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84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84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84" s="43">
        <f>(Dashboard!$C$13*tblHistory[[#This Row],[NDX S]]+Dashboard!$C$14*tblHistory[[#This Row],[SOX S]]+Dashboard!$C$15*tblHistory[[#This Row],[AIQ S]])/SUM(Dashboard!$C$13:$C$15)*100</f>
        <v/>
      </c>
      <c r="S84" s="43">
        <f>(Dashboard!$C$16*tblHistory[[#This Row],[ORCL S]]+Dashboard!$C$17*tblHistory[[#This Row],[CRWV S]])/SUM(Dashboard!$C$16:$C$17)*100</f>
        <v/>
      </c>
      <c r="T84" s="43">
        <f>(Dashboard!$C$18*tblHistory[[#This Row],[BIZD S]]+Dashboard!$C$19*tblHistory[[#This Row],[BKLN S]]+Dashboard!$C$20*tblHistory[[#This Row],[HY S]])/SUM(Dashboard!$C$18:$C$20)*100</f>
        <v/>
      </c>
      <c r="U84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84" s="43">
        <f>IFERROR(--(tblHistory[[#This Row],[Score]]&gt;=50),0)</f>
        <v/>
      </c>
      <c r="W84" s="43">
        <f>IFERROR(--AND(tblHistory[[#This Row],[Score]]&gt;=60,tblHistory[[#This Row],[BIZD S]]&gt;=0.8,tblHistory[[#This Row],[BKLN S]]&gt;=0.5),0)</f>
        <v/>
      </c>
      <c r="X84" s="43">
        <f>IFERROR(--AND(tblHistory[[#This Row],[Score]]&gt;=70,tblHistory[[#This Row],[SOX S]]&gt;=0.83,tblHistory[[#This Row],[AIQ S]]&gt;=0.8),0)</f>
        <v/>
      </c>
      <c r="Y84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84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84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84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84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85">
      <c r="A85" s="39" t="n">
        <v>46197</v>
      </c>
      <c r="B85" s="40" t="n">
        <v>33783.05</v>
      </c>
      <c r="C85" s="40" t="n">
        <v>13201.4</v>
      </c>
      <c r="D85" s="40" t="n">
        <v>60.55</v>
      </c>
      <c r="E85" s="40" t="n">
        <v>261.37</v>
      </c>
      <c r="F85" s="40" t="n">
        <v>34.65</v>
      </c>
      <c r="G85" s="40" t="n">
        <v>17.01</v>
      </c>
      <c r="H85" s="40" t="n">
        <v>21.19</v>
      </c>
      <c r="I85" s="41" t="n">
        <v>314</v>
      </c>
      <c r="J85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85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85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85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85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85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85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85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85" s="43">
        <f>(Dashboard!$C$13*tblHistory[[#This Row],[NDX S]]+Dashboard!$C$14*tblHistory[[#This Row],[SOX S]]+Dashboard!$C$15*tblHistory[[#This Row],[AIQ S]])/SUM(Dashboard!$C$13:$C$15)*100</f>
        <v/>
      </c>
      <c r="S85" s="43">
        <f>(Dashboard!$C$16*tblHistory[[#This Row],[ORCL S]]+Dashboard!$C$17*tblHistory[[#This Row],[CRWV S]])/SUM(Dashboard!$C$16:$C$17)*100</f>
        <v/>
      </c>
      <c r="T85" s="43">
        <f>(Dashboard!$C$18*tblHistory[[#This Row],[BIZD S]]+Dashboard!$C$19*tblHistory[[#This Row],[BKLN S]]+Dashboard!$C$20*tblHistory[[#This Row],[HY S]])/SUM(Dashboard!$C$18:$C$20)*100</f>
        <v/>
      </c>
      <c r="U85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85" s="43">
        <f>IFERROR(--(tblHistory[[#This Row],[Score]]&gt;=50),0)</f>
        <v/>
      </c>
      <c r="W85" s="43">
        <f>IFERROR(--AND(tblHistory[[#This Row],[Score]]&gt;=60,tblHistory[[#This Row],[BIZD S]]&gt;=0.8,tblHistory[[#This Row],[BKLN S]]&gt;=0.5),0)</f>
        <v/>
      </c>
      <c r="X85" s="43">
        <f>IFERROR(--AND(tblHistory[[#This Row],[Score]]&gt;=70,tblHistory[[#This Row],[SOX S]]&gt;=0.83,tblHistory[[#This Row],[AIQ S]]&gt;=0.8),0)</f>
        <v/>
      </c>
      <c r="Y85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85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85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85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85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86">
      <c r="A86" s="39" t="n">
        <v>46196</v>
      </c>
      <c r="B86" s="40" t="n">
        <v>34586.57</v>
      </c>
      <c r="C86" s="40" t="n">
        <v>13126.3</v>
      </c>
      <c r="D86" s="40" t="n">
        <v>60.42</v>
      </c>
      <c r="E86" s="40" t="n">
        <v>257.09</v>
      </c>
      <c r="F86" s="40" t="n">
        <v>36.88</v>
      </c>
      <c r="G86" s="40" t="n">
        <v>16.99</v>
      </c>
      <c r="H86" s="40" t="n">
        <v>21.19</v>
      </c>
      <c r="I86" s="41" t="n">
        <v>314</v>
      </c>
      <c r="J86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86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86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86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86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86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86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86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86" s="43">
        <f>(Dashboard!$C$13*tblHistory[[#This Row],[NDX S]]+Dashboard!$C$14*tblHistory[[#This Row],[SOX S]]+Dashboard!$C$15*tblHistory[[#This Row],[AIQ S]])/SUM(Dashboard!$C$13:$C$15)*100</f>
        <v/>
      </c>
      <c r="S86" s="43">
        <f>(Dashboard!$C$16*tblHistory[[#This Row],[ORCL S]]+Dashboard!$C$17*tblHistory[[#This Row],[CRWV S]])/SUM(Dashboard!$C$16:$C$17)*100</f>
        <v/>
      </c>
      <c r="T86" s="43">
        <f>(Dashboard!$C$18*tblHistory[[#This Row],[BIZD S]]+Dashboard!$C$19*tblHistory[[#This Row],[BKLN S]]+Dashboard!$C$20*tblHistory[[#This Row],[HY S]])/SUM(Dashboard!$C$18:$C$20)*100</f>
        <v/>
      </c>
      <c r="U86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86" s="43">
        <f>IFERROR(--(tblHistory[[#This Row],[Score]]&gt;=50),0)</f>
        <v/>
      </c>
      <c r="W86" s="43">
        <f>IFERROR(--AND(tblHistory[[#This Row],[Score]]&gt;=60,tblHistory[[#This Row],[BIZD S]]&gt;=0.8,tblHistory[[#This Row],[BKLN S]]&gt;=0.5),0)</f>
        <v/>
      </c>
      <c r="X86" s="43">
        <f>IFERROR(--AND(tblHistory[[#This Row],[Score]]&gt;=70,tblHistory[[#This Row],[SOX S]]&gt;=0.83,tblHistory[[#This Row],[AIQ S]]&gt;=0.8),0)</f>
        <v/>
      </c>
      <c r="Y86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86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86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86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86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87">
      <c r="A87" s="39" t="n">
        <v>46195</v>
      </c>
      <c r="B87" s="40" t="n">
        <v>34747.1</v>
      </c>
      <c r="C87" s="40" t="n">
        <v>13186.72</v>
      </c>
      <c r="D87" s="40" t="n">
        <v>60.82</v>
      </c>
      <c r="E87" s="40" t="n">
        <v>257.58</v>
      </c>
      <c r="F87" s="40" t="n">
        <v>37.48</v>
      </c>
      <c r="G87" s="40" t="n">
        <v>16.99</v>
      </c>
      <c r="H87" s="40" t="n">
        <v>21.14</v>
      </c>
      <c r="I87" s="41" t="n">
        <v>308</v>
      </c>
      <c r="J87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87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87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87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87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87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87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87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87" s="43">
        <f>(Dashboard!$C$13*tblHistory[[#This Row],[NDX S]]+Dashboard!$C$14*tblHistory[[#This Row],[SOX S]]+Dashboard!$C$15*tblHistory[[#This Row],[AIQ S]])/SUM(Dashboard!$C$13:$C$15)*100</f>
        <v/>
      </c>
      <c r="S87" s="43">
        <f>(Dashboard!$C$16*tblHistory[[#This Row],[ORCL S]]+Dashboard!$C$17*tblHistory[[#This Row],[CRWV S]])/SUM(Dashboard!$C$16:$C$17)*100</f>
        <v/>
      </c>
      <c r="T87" s="43">
        <f>(Dashboard!$C$18*tblHistory[[#This Row],[BIZD S]]+Dashboard!$C$19*tblHistory[[#This Row],[BKLN S]]+Dashboard!$C$20*tblHistory[[#This Row],[HY S]])/SUM(Dashboard!$C$18:$C$20)*100</f>
        <v/>
      </c>
      <c r="U87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87" s="43">
        <f>IFERROR(--(tblHistory[[#This Row],[Score]]&gt;=50),0)</f>
        <v/>
      </c>
      <c r="W87" s="43">
        <f>IFERROR(--AND(tblHistory[[#This Row],[Score]]&gt;=60,tblHistory[[#This Row],[BIZD S]]&gt;=0.8,tblHistory[[#This Row],[BKLN S]]&gt;=0.5),0)</f>
        <v/>
      </c>
      <c r="X87" s="43">
        <f>IFERROR(--AND(tblHistory[[#This Row],[Score]]&gt;=70,tblHistory[[#This Row],[SOX S]]&gt;=0.83,tblHistory[[#This Row],[AIQ S]]&gt;=0.8),0)</f>
        <v/>
      </c>
      <c r="Y87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87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87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87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87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88">
      <c r="A88" s="39" t="n">
        <v>46192</v>
      </c>
      <c r="B88" s="40" t="n">
        <v>35341.7</v>
      </c>
      <c r="C88" s="40" t="n">
        <v>13174.22</v>
      </c>
      <c r="D88" s="40" t="n">
        <v>60.77</v>
      </c>
      <c r="E88" s="40" t="n">
        <v>262.88</v>
      </c>
      <c r="F88" s="40" t="n">
        <v>36.56</v>
      </c>
      <c r="G88" s="40" t="n">
        <v>16.96</v>
      </c>
      <c r="H88" s="40" t="n">
        <v>21.2</v>
      </c>
      <c r="I88" s="41" t="n">
        <v>317</v>
      </c>
      <c r="J88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88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88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88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88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88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88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88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88" s="43">
        <f>(Dashboard!$C$13*tblHistory[[#This Row],[NDX S]]+Dashboard!$C$14*tblHistory[[#This Row],[SOX S]]+Dashboard!$C$15*tblHistory[[#This Row],[AIQ S]])/SUM(Dashboard!$C$13:$C$15)*100</f>
        <v/>
      </c>
      <c r="S88" s="43">
        <f>(Dashboard!$C$16*tblHistory[[#This Row],[ORCL S]]+Dashboard!$C$17*tblHistory[[#This Row],[CRWV S]])/SUM(Dashboard!$C$16:$C$17)*100</f>
        <v/>
      </c>
      <c r="T88" s="43">
        <f>(Dashboard!$C$18*tblHistory[[#This Row],[BIZD S]]+Dashboard!$C$19*tblHistory[[#This Row],[BKLN S]]+Dashboard!$C$20*tblHistory[[#This Row],[HY S]])/SUM(Dashboard!$C$18:$C$20)*100</f>
        <v/>
      </c>
      <c r="U88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88" s="43">
        <f>IFERROR(--(tblHistory[[#This Row],[Score]]&gt;=50),0)</f>
        <v/>
      </c>
      <c r="W88" s="43">
        <f>IFERROR(--AND(tblHistory[[#This Row],[Score]]&gt;=60,tblHistory[[#This Row],[BIZD S]]&gt;=0.8,tblHistory[[#This Row],[BKLN S]]&gt;=0.5),0)</f>
        <v/>
      </c>
      <c r="X88" s="43">
        <f>IFERROR(--AND(tblHistory[[#This Row],[Score]]&gt;=70,tblHistory[[#This Row],[SOX S]]&gt;=0.83,tblHistory[[#This Row],[AIQ S]]&gt;=0.8),0)</f>
        <v/>
      </c>
      <c r="Y88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88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88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88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88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89">
      <c r="A89" s="39" t="n">
        <v>46191</v>
      </c>
      <c r="B89" s="40" t="n">
        <v>35318.39</v>
      </c>
      <c r="C89" s="40" t="n">
        <v>13083.14</v>
      </c>
      <c r="D89" s="40" t="n">
        <v>61.01</v>
      </c>
      <c r="E89" s="40" t="n">
        <v>265.44</v>
      </c>
      <c r="F89" s="40" t="n">
        <v>36.82</v>
      </c>
      <c r="G89" s="40" t="n">
        <v>17.2</v>
      </c>
      <c r="H89" s="40" t="n">
        <v>21.16</v>
      </c>
      <c r="I89" s="41" t="n">
        <v>317</v>
      </c>
      <c r="J89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89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89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89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89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89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89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89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89" s="43">
        <f>(Dashboard!$C$13*tblHistory[[#This Row],[NDX S]]+Dashboard!$C$14*tblHistory[[#This Row],[SOX S]]+Dashboard!$C$15*tblHistory[[#This Row],[AIQ S]])/SUM(Dashboard!$C$13:$C$15)*100</f>
        <v/>
      </c>
      <c r="S89" s="43">
        <f>(Dashboard!$C$16*tblHistory[[#This Row],[ORCL S]]+Dashboard!$C$17*tblHistory[[#This Row],[CRWV S]])/SUM(Dashboard!$C$16:$C$17)*100</f>
        <v/>
      </c>
      <c r="T89" s="43">
        <f>(Dashboard!$C$18*tblHistory[[#This Row],[BIZD S]]+Dashboard!$C$19*tblHistory[[#This Row],[BKLN S]]+Dashboard!$C$20*tblHistory[[#This Row],[HY S]])/SUM(Dashboard!$C$18:$C$20)*100</f>
        <v/>
      </c>
      <c r="U89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89" s="43">
        <f>IFERROR(--(tblHistory[[#This Row],[Score]]&gt;=50),0)</f>
        <v/>
      </c>
      <c r="W89" s="43">
        <f>IFERROR(--AND(tblHistory[[#This Row],[Score]]&gt;=60,tblHistory[[#This Row],[BIZD S]]&gt;=0.8,tblHistory[[#This Row],[BKLN S]]&gt;=0.5),0)</f>
        <v/>
      </c>
      <c r="X89" s="43">
        <f>IFERROR(--AND(tblHistory[[#This Row],[Score]]&gt;=70,tblHistory[[#This Row],[SOX S]]&gt;=0.83,tblHistory[[#This Row],[AIQ S]]&gt;=0.8),0)</f>
        <v/>
      </c>
      <c r="Y89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89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89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89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89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90">
      <c r="A90" s="39" t="n">
        <v>46190</v>
      </c>
      <c r="B90" s="40" t="n">
        <v>35564.51</v>
      </c>
      <c r="C90" s="40" t="n">
        <v>12768.85</v>
      </c>
      <c r="D90" s="40" t="n">
        <v>60.54</v>
      </c>
      <c r="E90" s="40" t="n">
        <v>268.16</v>
      </c>
      <c r="F90" s="40" t="n">
        <v>36.17</v>
      </c>
      <c r="G90" s="40" t="n">
        <v>17.25</v>
      </c>
      <c r="H90" s="40" t="n">
        <v>21.12</v>
      </c>
      <c r="I90" s="41" t="n">
        <v>318</v>
      </c>
      <c r="J90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90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90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90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90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90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90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90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90" s="43">
        <f>(Dashboard!$C$13*tblHistory[[#This Row],[NDX S]]+Dashboard!$C$14*tblHistory[[#This Row],[SOX S]]+Dashboard!$C$15*tblHistory[[#This Row],[AIQ S]])/SUM(Dashboard!$C$13:$C$15)*100</f>
        <v/>
      </c>
      <c r="S90" s="43">
        <f>(Dashboard!$C$16*tblHistory[[#This Row],[ORCL S]]+Dashboard!$C$17*tblHistory[[#This Row],[CRWV S]])/SUM(Dashboard!$C$16:$C$17)*100</f>
        <v/>
      </c>
      <c r="T90" s="43">
        <f>(Dashboard!$C$18*tblHistory[[#This Row],[BIZD S]]+Dashboard!$C$19*tblHistory[[#This Row],[BKLN S]]+Dashboard!$C$20*tblHistory[[#This Row],[HY S]])/SUM(Dashboard!$C$18:$C$20)*100</f>
        <v/>
      </c>
      <c r="U90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90" s="43">
        <f>IFERROR(--(tblHistory[[#This Row],[Score]]&gt;=50),0)</f>
        <v/>
      </c>
      <c r="W90" s="43">
        <f>IFERROR(--AND(tblHistory[[#This Row],[Score]]&gt;=60,tblHistory[[#This Row],[BIZD S]]&gt;=0.8,tblHistory[[#This Row],[BKLN S]]&gt;=0.5),0)</f>
        <v/>
      </c>
      <c r="X90" s="43">
        <f>IFERROR(--AND(tblHistory[[#This Row],[Score]]&gt;=70,tblHistory[[#This Row],[SOX S]]&gt;=0.83,tblHistory[[#This Row],[AIQ S]]&gt;=0.8),0)</f>
        <v/>
      </c>
      <c r="Y90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90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90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90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90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91">
      <c r="A91" s="39" t="n">
        <v>46189</v>
      </c>
      <c r="B91" s="40" t="n">
        <v>35995.67</v>
      </c>
      <c r="C91" s="40" t="n">
        <v>13281.09</v>
      </c>
      <c r="D91" s="40" t="n">
        <v>60.46</v>
      </c>
      <c r="E91" s="40" t="n">
        <v>271.16</v>
      </c>
      <c r="F91" s="40" t="n">
        <v>37.03</v>
      </c>
      <c r="G91" s="40" t="n">
        <v>17.02</v>
      </c>
      <c r="H91" s="40" t="n">
        <v>21.14</v>
      </c>
      <c r="I91" s="41" t="n">
        <v>308</v>
      </c>
      <c r="J91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91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91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91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91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91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91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91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91" s="43">
        <f>(Dashboard!$C$13*tblHistory[[#This Row],[NDX S]]+Dashboard!$C$14*tblHistory[[#This Row],[SOX S]]+Dashboard!$C$15*tblHistory[[#This Row],[AIQ S]])/SUM(Dashboard!$C$13:$C$15)*100</f>
        <v/>
      </c>
      <c r="S91" s="43">
        <f>(Dashboard!$C$16*tblHistory[[#This Row],[ORCL S]]+Dashboard!$C$17*tblHistory[[#This Row],[CRWV S]])/SUM(Dashboard!$C$16:$C$17)*100</f>
        <v/>
      </c>
      <c r="T91" s="43">
        <f>(Dashboard!$C$18*tblHistory[[#This Row],[BIZD S]]+Dashboard!$C$19*tblHistory[[#This Row],[BKLN S]]+Dashboard!$C$20*tblHistory[[#This Row],[HY S]])/SUM(Dashboard!$C$18:$C$20)*100</f>
        <v/>
      </c>
      <c r="U91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91" s="43">
        <f>IFERROR(--(tblHistory[[#This Row],[Score]]&gt;=50),0)</f>
        <v/>
      </c>
      <c r="W91" s="43">
        <f>IFERROR(--AND(tblHistory[[#This Row],[Score]]&gt;=60,tblHistory[[#This Row],[BIZD S]]&gt;=0.8,tblHistory[[#This Row],[BKLN S]]&gt;=0.5),0)</f>
        <v/>
      </c>
      <c r="X91" s="43">
        <f>IFERROR(--AND(tblHistory[[#This Row],[Score]]&gt;=70,tblHistory[[#This Row],[SOX S]]&gt;=0.83,tblHistory[[#This Row],[AIQ S]]&gt;=0.8),0)</f>
        <v/>
      </c>
      <c r="Y91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91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91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91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91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92">
      <c r="A92" s="39" t="n">
        <v>46188</v>
      </c>
      <c r="B92" s="40" t="n">
        <v>35679.09</v>
      </c>
      <c r="C92" s="40" t="n">
        <v>13356.62</v>
      </c>
      <c r="D92" s="40" t="n">
        <v>60.64</v>
      </c>
      <c r="E92" s="40" t="n">
        <v>283.09</v>
      </c>
      <c r="F92" s="40" t="n">
        <v>36.39</v>
      </c>
      <c r="G92" s="40" t="n">
        <v>17.16</v>
      </c>
      <c r="H92" s="40" t="n">
        <v>21.2</v>
      </c>
      <c r="I92" s="41" t="n">
        <v>300</v>
      </c>
      <c r="J92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92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92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92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92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92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92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92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92" s="43">
        <f>(Dashboard!$C$13*tblHistory[[#This Row],[NDX S]]+Dashboard!$C$14*tblHistory[[#This Row],[SOX S]]+Dashboard!$C$15*tblHistory[[#This Row],[AIQ S]])/SUM(Dashboard!$C$13:$C$15)*100</f>
        <v/>
      </c>
      <c r="S92" s="43">
        <f>(Dashboard!$C$16*tblHistory[[#This Row],[ORCL S]]+Dashboard!$C$17*tblHistory[[#This Row],[CRWV S]])/SUM(Dashboard!$C$16:$C$17)*100</f>
        <v/>
      </c>
      <c r="T92" s="43">
        <f>(Dashboard!$C$18*tblHistory[[#This Row],[BIZD S]]+Dashboard!$C$19*tblHistory[[#This Row],[BKLN S]]+Dashboard!$C$20*tblHistory[[#This Row],[HY S]])/SUM(Dashboard!$C$18:$C$20)*100</f>
        <v/>
      </c>
      <c r="U92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92" s="43">
        <f>IFERROR(--(tblHistory[[#This Row],[Score]]&gt;=50),0)</f>
        <v/>
      </c>
      <c r="W92" s="43">
        <f>IFERROR(--AND(tblHistory[[#This Row],[Score]]&gt;=60,tblHistory[[#This Row],[BIZD S]]&gt;=0.8,tblHistory[[#This Row],[BKLN S]]&gt;=0.5),0)</f>
        <v/>
      </c>
      <c r="X92" s="43">
        <f>IFERROR(--AND(tblHistory[[#This Row],[Score]]&gt;=70,tblHistory[[#This Row],[SOX S]]&gt;=0.83,tblHistory[[#This Row],[AIQ S]]&gt;=0.8),0)</f>
        <v/>
      </c>
      <c r="Y92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92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92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92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92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93">
      <c r="A93" s="39" t="n">
        <v>46185</v>
      </c>
      <c r="B93" s="40" t="n">
        <v>35761.97</v>
      </c>
      <c r="C93" s="40" t="n">
        <v>13214.5</v>
      </c>
      <c r="D93" s="40" t="n">
        <v>61.18</v>
      </c>
      <c r="E93" s="40" t="n">
        <v>286.96</v>
      </c>
      <c r="F93" s="40" t="n">
        <v>34.92</v>
      </c>
      <c r="G93" s="40" t="n">
        <v>17.21</v>
      </c>
      <c r="H93" s="40" t="n">
        <v>21.24</v>
      </c>
      <c r="I93" s="41" t="n">
        <v>302</v>
      </c>
      <c r="J93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93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93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93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93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93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93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93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93" s="43">
        <f>(Dashboard!$C$13*tblHistory[[#This Row],[NDX S]]+Dashboard!$C$14*tblHistory[[#This Row],[SOX S]]+Dashboard!$C$15*tblHistory[[#This Row],[AIQ S]])/SUM(Dashboard!$C$13:$C$15)*100</f>
        <v/>
      </c>
      <c r="S93" s="43">
        <f>(Dashboard!$C$16*tblHistory[[#This Row],[ORCL S]]+Dashboard!$C$17*tblHistory[[#This Row],[CRWV S]])/SUM(Dashboard!$C$16:$C$17)*100</f>
        <v/>
      </c>
      <c r="T93" s="43">
        <f>(Dashboard!$C$18*tblHistory[[#This Row],[BIZD S]]+Dashboard!$C$19*tblHistory[[#This Row],[BKLN S]]+Dashboard!$C$20*tblHistory[[#This Row],[HY S]])/SUM(Dashboard!$C$18:$C$20)*100</f>
        <v/>
      </c>
      <c r="U93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93" s="43">
        <f>IFERROR(--(tblHistory[[#This Row],[Score]]&gt;=50),0)</f>
        <v/>
      </c>
      <c r="W93" s="43">
        <f>IFERROR(--AND(tblHistory[[#This Row],[Score]]&gt;=60,tblHistory[[#This Row],[BIZD S]]&gt;=0.8,tblHistory[[#This Row],[BKLN S]]&gt;=0.5),0)</f>
        <v/>
      </c>
      <c r="X93" s="43">
        <f>IFERROR(--AND(tblHistory[[#This Row],[Score]]&gt;=70,tblHistory[[#This Row],[SOX S]]&gt;=0.83,tblHistory[[#This Row],[AIQ S]]&gt;=0.8),0)</f>
        <v/>
      </c>
      <c r="Y93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93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93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93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93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94">
      <c r="A94" s="39" t="n">
        <v>46184</v>
      </c>
      <c r="B94" s="40" t="n">
        <v>35716.85</v>
      </c>
      <c r="C94" s="40" t="n">
        <v>13070.67</v>
      </c>
      <c r="D94" s="40" t="n">
        <v>60.53</v>
      </c>
      <c r="E94" s="40" t="n">
        <v>288.73</v>
      </c>
      <c r="F94" s="40" t="n">
        <v>35.17</v>
      </c>
      <c r="G94" s="40" t="n">
        <v>17.23</v>
      </c>
      <c r="H94" s="40" t="n">
        <v>21.23</v>
      </c>
      <c r="I94" s="41" t="n">
        <v>305</v>
      </c>
      <c r="J94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94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94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94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94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94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94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94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94" s="43">
        <f>(Dashboard!$C$13*tblHistory[[#This Row],[NDX S]]+Dashboard!$C$14*tblHistory[[#This Row],[SOX S]]+Dashboard!$C$15*tblHistory[[#This Row],[AIQ S]])/SUM(Dashboard!$C$13:$C$15)*100</f>
        <v/>
      </c>
      <c r="S94" s="43">
        <f>(Dashboard!$C$16*tblHistory[[#This Row],[ORCL S]]+Dashboard!$C$17*tblHistory[[#This Row],[CRWV S]])/SUM(Dashboard!$C$16:$C$17)*100</f>
        <v/>
      </c>
      <c r="T94" s="43">
        <f>(Dashboard!$C$18*tblHistory[[#This Row],[BIZD S]]+Dashboard!$C$19*tblHistory[[#This Row],[BKLN S]]+Dashboard!$C$20*tblHistory[[#This Row],[HY S]])/SUM(Dashboard!$C$18:$C$20)*100</f>
        <v/>
      </c>
      <c r="U94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94" s="43">
        <f>IFERROR(--(tblHistory[[#This Row],[Score]]&gt;=50),0)</f>
        <v/>
      </c>
      <c r="W94" s="43">
        <f>IFERROR(--AND(tblHistory[[#This Row],[Score]]&gt;=60,tblHistory[[#This Row],[BIZD S]]&gt;=0.8,tblHistory[[#This Row],[BKLN S]]&gt;=0.5),0)</f>
        <v/>
      </c>
      <c r="X94" s="43">
        <f>IFERROR(--AND(tblHistory[[#This Row],[Score]]&gt;=70,tblHistory[[#This Row],[SOX S]]&gt;=0.83,tblHistory[[#This Row],[AIQ S]]&gt;=0.8),0)</f>
        <v/>
      </c>
      <c r="Y94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94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94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94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94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95">
      <c r="A95" s="39" t="n">
        <v>46183</v>
      </c>
      <c r="B95" s="40" t="n">
        <v>35607.28</v>
      </c>
      <c r="C95" s="40" t="n">
        <v>13088.94</v>
      </c>
      <c r="D95" s="40" t="n">
        <v>62.02</v>
      </c>
      <c r="E95" s="40" t="n">
        <v>292.05</v>
      </c>
      <c r="F95" s="40" t="n">
        <v>36.27</v>
      </c>
      <c r="G95" s="40" t="n">
        <v>17.19</v>
      </c>
      <c r="H95" s="40" t="n">
        <v>21.25</v>
      </c>
      <c r="I95" s="41" t="n">
        <v>300</v>
      </c>
      <c r="J95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95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95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95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95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95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95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95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95" s="43">
        <f>(Dashboard!$C$13*tblHistory[[#This Row],[NDX S]]+Dashboard!$C$14*tblHistory[[#This Row],[SOX S]]+Dashboard!$C$15*tblHistory[[#This Row],[AIQ S]])/SUM(Dashboard!$C$13:$C$15)*100</f>
        <v/>
      </c>
      <c r="S95" s="43">
        <f>(Dashboard!$C$16*tblHistory[[#This Row],[ORCL S]]+Dashboard!$C$17*tblHistory[[#This Row],[CRWV S]])/SUM(Dashboard!$C$16:$C$17)*100</f>
        <v/>
      </c>
      <c r="T95" s="43">
        <f>(Dashboard!$C$18*tblHistory[[#This Row],[BIZD S]]+Dashboard!$C$19*tblHistory[[#This Row],[BKLN S]]+Dashboard!$C$20*tblHistory[[#This Row],[HY S]])/SUM(Dashboard!$C$18:$C$20)*100</f>
        <v/>
      </c>
      <c r="U95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95" s="43">
        <f>IFERROR(--(tblHistory[[#This Row],[Score]]&gt;=50),0)</f>
        <v/>
      </c>
      <c r="W95" s="43">
        <f>IFERROR(--AND(tblHistory[[#This Row],[Score]]&gt;=60,tblHistory[[#This Row],[BIZD S]]&gt;=0.8,tblHistory[[#This Row],[BKLN S]]&gt;=0.5),0)</f>
        <v/>
      </c>
      <c r="X95" s="43">
        <f>IFERROR(--AND(tblHistory[[#This Row],[Score]]&gt;=70,tblHistory[[#This Row],[SOX S]]&gt;=0.83,tblHistory[[#This Row],[AIQ S]]&gt;=0.8),0)</f>
        <v/>
      </c>
      <c r="Y95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95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95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95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95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96">
      <c r="A96" s="39" t="n">
        <v>46182</v>
      </c>
      <c r="B96" s="40" t="n">
        <v>35356.13</v>
      </c>
      <c r="C96" s="40" t="n">
        <v>13324.97</v>
      </c>
      <c r="D96" s="40" t="n">
        <v>62.24</v>
      </c>
      <c r="E96" s="40" t="n">
        <v>294.72</v>
      </c>
      <c r="F96" s="40" t="n">
        <v>36.65</v>
      </c>
      <c r="G96" s="40" t="n">
        <v>17.12</v>
      </c>
      <c r="H96" s="40" t="n">
        <v>21.27</v>
      </c>
      <c r="I96" s="41" t="n">
        <v>302</v>
      </c>
      <c r="J96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96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96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96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96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96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96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96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96" s="43">
        <f>(Dashboard!$C$13*tblHistory[[#This Row],[NDX S]]+Dashboard!$C$14*tblHistory[[#This Row],[SOX S]]+Dashboard!$C$15*tblHistory[[#This Row],[AIQ S]])/SUM(Dashboard!$C$13:$C$15)*100</f>
        <v/>
      </c>
      <c r="S96" s="43">
        <f>(Dashboard!$C$16*tblHistory[[#This Row],[ORCL S]]+Dashboard!$C$17*tblHistory[[#This Row],[CRWV S]])/SUM(Dashboard!$C$16:$C$17)*100</f>
        <v/>
      </c>
      <c r="T96" s="43">
        <f>(Dashboard!$C$18*tblHistory[[#This Row],[BIZD S]]+Dashboard!$C$19*tblHistory[[#This Row],[BKLN S]]+Dashboard!$C$20*tblHistory[[#This Row],[HY S]])/SUM(Dashboard!$C$18:$C$20)*100</f>
        <v/>
      </c>
      <c r="U96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96" s="43">
        <f>IFERROR(--(tblHistory[[#This Row],[Score]]&gt;=50),0)</f>
        <v/>
      </c>
      <c r="W96" s="43">
        <f>IFERROR(--AND(tblHistory[[#This Row],[Score]]&gt;=60,tblHistory[[#This Row],[BIZD S]]&gt;=0.8,tblHistory[[#This Row],[BKLN S]]&gt;=0.5),0)</f>
        <v/>
      </c>
      <c r="X96" s="43">
        <f>IFERROR(--AND(tblHistory[[#This Row],[Score]]&gt;=70,tblHistory[[#This Row],[SOX S]]&gt;=0.83,tblHistory[[#This Row],[AIQ S]]&gt;=0.8),0)</f>
        <v/>
      </c>
      <c r="Y96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96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96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96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96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97">
      <c r="A97" s="39" t="n">
        <v>46181</v>
      </c>
      <c r="B97" s="40" t="n">
        <v>34974.84</v>
      </c>
      <c r="C97" s="40" t="n">
        <v>13067.48</v>
      </c>
      <c r="D97" s="40" t="n">
        <v>63.52</v>
      </c>
      <c r="E97" s="40" t="n">
        <v>295.52</v>
      </c>
      <c r="F97" s="40" t="n">
        <v>34.34</v>
      </c>
      <c r="G97" s="40" t="n">
        <v>16.96</v>
      </c>
      <c r="H97" s="40" t="n">
        <v>21.2</v>
      </c>
      <c r="I97" s="41" t="n">
        <v>313</v>
      </c>
      <c r="J97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97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97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97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97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97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97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97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97" s="43">
        <f>(Dashboard!$C$13*tblHistory[[#This Row],[NDX S]]+Dashboard!$C$14*tblHistory[[#This Row],[SOX S]]+Dashboard!$C$15*tblHistory[[#This Row],[AIQ S]])/SUM(Dashboard!$C$13:$C$15)*100</f>
        <v/>
      </c>
      <c r="S97" s="43">
        <f>(Dashboard!$C$16*tblHistory[[#This Row],[ORCL S]]+Dashboard!$C$17*tblHistory[[#This Row],[CRWV S]])/SUM(Dashboard!$C$16:$C$17)*100</f>
        <v/>
      </c>
      <c r="T97" s="43">
        <f>(Dashboard!$C$18*tblHistory[[#This Row],[BIZD S]]+Dashboard!$C$19*tblHistory[[#This Row],[BKLN S]]+Dashboard!$C$20*tblHistory[[#This Row],[HY S]])/SUM(Dashboard!$C$18:$C$20)*100</f>
        <v/>
      </c>
      <c r="U97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97" s="43">
        <f>IFERROR(--(tblHistory[[#This Row],[Score]]&gt;=50),0)</f>
        <v/>
      </c>
      <c r="W97" s="43">
        <f>IFERROR(--AND(tblHistory[[#This Row],[Score]]&gt;=60,tblHistory[[#This Row],[BIZD S]]&gt;=0.8,tblHistory[[#This Row],[BKLN S]]&gt;=0.5),0)</f>
        <v/>
      </c>
      <c r="X97" s="43">
        <f>IFERROR(--AND(tblHistory[[#This Row],[Score]]&gt;=70,tblHistory[[#This Row],[SOX S]]&gt;=0.83,tblHistory[[#This Row],[AIQ S]]&gt;=0.8),0)</f>
        <v/>
      </c>
      <c r="Y97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97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97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97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97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98">
      <c r="A98" s="39" t="n">
        <v>46178</v>
      </c>
      <c r="B98" s="40" t="n">
        <v>34943.65</v>
      </c>
      <c r="C98" s="40" t="n">
        <v>13008.58</v>
      </c>
      <c r="D98" s="40" t="n">
        <v>62.3</v>
      </c>
      <c r="E98" s="40" t="n">
        <v>294.11</v>
      </c>
      <c r="F98" s="40" t="n">
        <v>32.39</v>
      </c>
      <c r="G98" s="40" t="n">
        <v>16.85</v>
      </c>
      <c r="H98" s="40" t="n">
        <v>21.26</v>
      </c>
      <c r="I98" s="41" t="n">
        <v>310</v>
      </c>
      <c r="J98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98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98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98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98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98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98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98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98" s="43">
        <f>(Dashboard!$C$13*tblHistory[[#This Row],[NDX S]]+Dashboard!$C$14*tblHistory[[#This Row],[SOX S]]+Dashboard!$C$15*tblHistory[[#This Row],[AIQ S]])/SUM(Dashboard!$C$13:$C$15)*100</f>
        <v/>
      </c>
      <c r="S98" s="43">
        <f>(Dashboard!$C$16*tblHistory[[#This Row],[ORCL S]]+Dashboard!$C$17*tblHistory[[#This Row],[CRWV S]])/SUM(Dashboard!$C$16:$C$17)*100</f>
        <v/>
      </c>
      <c r="T98" s="43">
        <f>(Dashboard!$C$18*tblHistory[[#This Row],[BIZD S]]+Dashboard!$C$19*tblHistory[[#This Row],[BKLN S]]+Dashboard!$C$20*tblHistory[[#This Row],[HY S]])/SUM(Dashboard!$C$18:$C$20)*100</f>
        <v/>
      </c>
      <c r="U98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98" s="43">
        <f>IFERROR(--(tblHistory[[#This Row],[Score]]&gt;=50),0)</f>
        <v/>
      </c>
      <c r="W98" s="43">
        <f>IFERROR(--AND(tblHistory[[#This Row],[Score]]&gt;=60,tblHistory[[#This Row],[BIZD S]]&gt;=0.8,tblHistory[[#This Row],[BKLN S]]&gt;=0.5),0)</f>
        <v/>
      </c>
      <c r="X98" s="43">
        <f>IFERROR(--AND(tblHistory[[#This Row],[Score]]&gt;=70,tblHistory[[#This Row],[SOX S]]&gt;=0.83,tblHistory[[#This Row],[AIQ S]]&gt;=0.8),0)</f>
        <v/>
      </c>
      <c r="Y98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98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98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98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98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99">
      <c r="A99" s="39" t="n">
        <v>46177</v>
      </c>
      <c r="B99" s="40" t="n">
        <v>34596.13</v>
      </c>
      <c r="C99" s="40" t="n">
        <v>13138.19</v>
      </c>
      <c r="D99" s="40" t="n">
        <v>61.86</v>
      </c>
      <c r="E99" s="40" t="n">
        <v>305.47</v>
      </c>
      <c r="F99" s="40" t="n">
        <v>32.46</v>
      </c>
      <c r="G99" s="40" t="n">
        <v>16.83</v>
      </c>
      <c r="H99" s="40" t="n">
        <v>21.24</v>
      </c>
      <c r="I99" s="41" t="n">
        <v>307</v>
      </c>
      <c r="J99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99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99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99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99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99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99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99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99" s="43">
        <f>(Dashboard!$C$13*tblHistory[[#This Row],[NDX S]]+Dashboard!$C$14*tblHistory[[#This Row],[SOX S]]+Dashboard!$C$15*tblHistory[[#This Row],[AIQ S]])/SUM(Dashboard!$C$13:$C$15)*100</f>
        <v/>
      </c>
      <c r="S99" s="43">
        <f>(Dashboard!$C$16*tblHistory[[#This Row],[ORCL S]]+Dashboard!$C$17*tblHistory[[#This Row],[CRWV S]])/SUM(Dashboard!$C$16:$C$17)*100</f>
        <v/>
      </c>
      <c r="T99" s="43">
        <f>(Dashboard!$C$18*tblHistory[[#This Row],[BIZD S]]+Dashboard!$C$19*tblHistory[[#This Row],[BKLN S]]+Dashboard!$C$20*tblHistory[[#This Row],[HY S]])/SUM(Dashboard!$C$18:$C$20)*100</f>
        <v/>
      </c>
      <c r="U99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99" s="43">
        <f>IFERROR(--(tblHistory[[#This Row],[Score]]&gt;=50),0)</f>
        <v/>
      </c>
      <c r="W99" s="43">
        <f>IFERROR(--AND(tblHistory[[#This Row],[Score]]&gt;=60,tblHistory[[#This Row],[BIZD S]]&gt;=0.8,tblHistory[[#This Row],[BKLN S]]&gt;=0.5),0)</f>
        <v/>
      </c>
      <c r="X99" s="43">
        <f>IFERROR(--AND(tblHistory[[#This Row],[Score]]&gt;=70,tblHistory[[#This Row],[SOX S]]&gt;=0.83,tblHistory[[#This Row],[AIQ S]]&gt;=0.8),0)</f>
        <v/>
      </c>
      <c r="Y99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99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99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99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99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100">
      <c r="A100" s="39" t="n">
        <v>46176</v>
      </c>
      <c r="B100" s="40" t="n">
        <v>34109.84</v>
      </c>
      <c r="C100" s="40" t="n">
        <v>13053.53</v>
      </c>
      <c r="D100" s="40" t="n">
        <v>63.33</v>
      </c>
      <c r="E100" s="40" t="n">
        <v>300.65</v>
      </c>
      <c r="F100" s="40" t="n">
        <v>35.02</v>
      </c>
      <c r="G100" s="40" t="n">
        <v>16.57</v>
      </c>
      <c r="H100" s="40" t="n">
        <v>21.2</v>
      </c>
      <c r="I100" s="41" t="n">
        <v>309</v>
      </c>
      <c r="J100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100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100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100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100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100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100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100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100" s="43">
        <f>(Dashboard!$C$13*tblHistory[[#This Row],[NDX S]]+Dashboard!$C$14*tblHistory[[#This Row],[SOX S]]+Dashboard!$C$15*tblHistory[[#This Row],[AIQ S]])/SUM(Dashboard!$C$13:$C$15)*100</f>
        <v/>
      </c>
      <c r="S100" s="43">
        <f>(Dashboard!$C$16*tblHistory[[#This Row],[ORCL S]]+Dashboard!$C$17*tblHistory[[#This Row],[CRWV S]])/SUM(Dashboard!$C$16:$C$17)*100</f>
        <v/>
      </c>
      <c r="T100" s="43">
        <f>(Dashboard!$C$18*tblHistory[[#This Row],[BIZD S]]+Dashboard!$C$19*tblHistory[[#This Row],[BKLN S]]+Dashboard!$C$20*tblHistory[[#This Row],[HY S]])/SUM(Dashboard!$C$18:$C$20)*100</f>
        <v/>
      </c>
      <c r="U100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100" s="43">
        <f>IFERROR(--(tblHistory[[#This Row],[Score]]&gt;=50),0)</f>
        <v/>
      </c>
      <c r="W100" s="43">
        <f>IFERROR(--AND(tblHistory[[#This Row],[Score]]&gt;=60,tblHistory[[#This Row],[BIZD S]]&gt;=0.8,tblHistory[[#This Row],[BKLN S]]&gt;=0.5),0)</f>
        <v/>
      </c>
      <c r="X100" s="43">
        <f>IFERROR(--AND(tblHistory[[#This Row],[Score]]&gt;=70,tblHistory[[#This Row],[SOX S]]&gt;=0.83,tblHistory[[#This Row],[AIQ S]]&gt;=0.8),0)</f>
        <v/>
      </c>
      <c r="Y100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100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100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100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100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101">
      <c r="A101" s="39" t="n">
        <v>46175</v>
      </c>
      <c r="B101" s="40" t="n">
        <v>33942.68</v>
      </c>
      <c r="C101" s="40" t="n">
        <v>12776.27</v>
      </c>
      <c r="D101" s="40" t="n">
        <v>62.92</v>
      </c>
      <c r="E101" s="40" t="n">
        <v>303.71</v>
      </c>
      <c r="F101" s="40" t="n">
        <v>35.79</v>
      </c>
      <c r="G101" s="40" t="n">
        <v>16.37</v>
      </c>
      <c r="H101" s="40" t="n">
        <v>21.25</v>
      </c>
      <c r="I101" s="41" t="n">
        <v>313</v>
      </c>
      <c r="J101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101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101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101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101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101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101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101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101" s="43">
        <f>(Dashboard!$C$13*tblHistory[[#This Row],[NDX S]]+Dashboard!$C$14*tblHistory[[#This Row],[SOX S]]+Dashboard!$C$15*tblHistory[[#This Row],[AIQ S]])/SUM(Dashboard!$C$13:$C$15)*100</f>
        <v/>
      </c>
      <c r="S101" s="43">
        <f>(Dashboard!$C$16*tblHistory[[#This Row],[ORCL S]]+Dashboard!$C$17*tblHistory[[#This Row],[CRWV S]])/SUM(Dashboard!$C$16:$C$17)*100</f>
        <v/>
      </c>
      <c r="T101" s="43">
        <f>(Dashboard!$C$18*tblHistory[[#This Row],[BIZD S]]+Dashboard!$C$19*tblHistory[[#This Row],[BKLN S]]+Dashboard!$C$20*tblHistory[[#This Row],[HY S]])/SUM(Dashboard!$C$18:$C$20)*100</f>
        <v/>
      </c>
      <c r="U101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101" s="43">
        <f>IFERROR(--(tblHistory[[#This Row],[Score]]&gt;=50),0)</f>
        <v/>
      </c>
      <c r="W101" s="43">
        <f>IFERROR(--AND(tblHistory[[#This Row],[Score]]&gt;=60,tblHistory[[#This Row],[BIZD S]]&gt;=0.8,tblHistory[[#This Row],[BKLN S]]&gt;=0.5),0)</f>
        <v/>
      </c>
      <c r="X101" s="43">
        <f>IFERROR(--AND(tblHistory[[#This Row],[Score]]&gt;=70,tblHistory[[#This Row],[SOX S]]&gt;=0.83,tblHistory[[#This Row],[AIQ S]]&gt;=0.8),0)</f>
        <v/>
      </c>
      <c r="Y101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101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101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101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101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102">
      <c r="A102" s="39" t="n">
        <v>46174</v>
      </c>
      <c r="B102" s="40" t="n">
        <v>33846.07</v>
      </c>
      <c r="C102" s="40" t="n">
        <v>13160.74</v>
      </c>
      <c r="D102" s="40" t="n">
        <v>64.41</v>
      </c>
      <c r="E102" s="40" t="n">
        <v>295.64</v>
      </c>
      <c r="F102" s="40" t="n">
        <v>36.2</v>
      </c>
      <c r="G102" s="40" t="n">
        <v>16.13</v>
      </c>
      <c r="H102" s="40" t="n">
        <v>21.3</v>
      </c>
      <c r="I102" s="41" t="n">
        <v>312</v>
      </c>
      <c r="J102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102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102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102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102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102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102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102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102" s="43">
        <f>(Dashboard!$C$13*tblHistory[[#This Row],[NDX S]]+Dashboard!$C$14*tblHistory[[#This Row],[SOX S]]+Dashboard!$C$15*tblHistory[[#This Row],[AIQ S]])/SUM(Dashboard!$C$13:$C$15)*100</f>
        <v/>
      </c>
      <c r="S102" s="43">
        <f>(Dashboard!$C$16*tblHistory[[#This Row],[ORCL S]]+Dashboard!$C$17*tblHistory[[#This Row],[CRWV S]])/SUM(Dashboard!$C$16:$C$17)*100</f>
        <v/>
      </c>
      <c r="T102" s="43">
        <f>(Dashboard!$C$18*tblHistory[[#This Row],[BIZD S]]+Dashboard!$C$19*tblHistory[[#This Row],[BKLN S]]+Dashboard!$C$20*tblHistory[[#This Row],[HY S]])/SUM(Dashboard!$C$18:$C$20)*100</f>
        <v/>
      </c>
      <c r="U102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102" s="43">
        <f>IFERROR(--(tblHistory[[#This Row],[Score]]&gt;=50),0)</f>
        <v/>
      </c>
      <c r="W102" s="43">
        <f>IFERROR(--AND(tblHistory[[#This Row],[Score]]&gt;=60,tblHistory[[#This Row],[BIZD S]]&gt;=0.8,tblHistory[[#This Row],[BKLN S]]&gt;=0.5),0)</f>
        <v/>
      </c>
      <c r="X102" s="43">
        <f>IFERROR(--AND(tblHistory[[#This Row],[Score]]&gt;=70,tblHistory[[#This Row],[SOX S]]&gt;=0.83,tblHistory[[#This Row],[AIQ S]]&gt;=0.8),0)</f>
        <v/>
      </c>
      <c r="Y102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102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102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102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102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103">
      <c r="A103" s="39" t="n">
        <v>46171</v>
      </c>
      <c r="B103" s="40" t="n">
        <v>34302.85</v>
      </c>
      <c r="C103" s="40" t="n">
        <v>13325.29</v>
      </c>
      <c r="D103" s="40" t="n">
        <v>65.23999999999999</v>
      </c>
      <c r="E103" s="40" t="n">
        <v>297.35</v>
      </c>
      <c r="F103" s="40" t="n">
        <v>36.09</v>
      </c>
      <c r="G103" s="40" t="n">
        <v>16.11</v>
      </c>
      <c r="H103" s="40" t="n">
        <v>21.33</v>
      </c>
      <c r="I103" s="41" t="n">
        <v>304</v>
      </c>
      <c r="J103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103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103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103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103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103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103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103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103" s="43">
        <f>(Dashboard!$C$13*tblHistory[[#This Row],[NDX S]]+Dashboard!$C$14*tblHistory[[#This Row],[SOX S]]+Dashboard!$C$15*tblHistory[[#This Row],[AIQ S]])/SUM(Dashboard!$C$13:$C$15)*100</f>
        <v/>
      </c>
      <c r="S103" s="43">
        <f>(Dashboard!$C$16*tblHistory[[#This Row],[ORCL S]]+Dashboard!$C$17*tblHistory[[#This Row],[CRWV S]])/SUM(Dashboard!$C$16:$C$17)*100</f>
        <v/>
      </c>
      <c r="T103" s="43">
        <f>(Dashboard!$C$18*tblHistory[[#This Row],[BIZD S]]+Dashboard!$C$19*tblHistory[[#This Row],[BKLN S]]+Dashboard!$C$20*tblHistory[[#This Row],[HY S]])/SUM(Dashboard!$C$18:$C$20)*100</f>
        <v/>
      </c>
      <c r="U103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103" s="43">
        <f>IFERROR(--(tblHistory[[#This Row],[Score]]&gt;=50),0)</f>
        <v/>
      </c>
      <c r="W103" s="43">
        <f>IFERROR(--AND(tblHistory[[#This Row],[Score]]&gt;=60,tblHistory[[#This Row],[BIZD S]]&gt;=0.8,tblHistory[[#This Row],[BKLN S]]&gt;=0.5),0)</f>
        <v/>
      </c>
      <c r="X103" s="43">
        <f>IFERROR(--AND(tblHistory[[#This Row],[Score]]&gt;=70,tblHistory[[#This Row],[SOX S]]&gt;=0.83,tblHistory[[#This Row],[AIQ S]]&gt;=0.8),0)</f>
        <v/>
      </c>
      <c r="Y103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103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103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103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103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104">
      <c r="A104" s="39" t="n">
        <v>46170</v>
      </c>
      <c r="B104" s="40" t="n">
        <v>34279.57</v>
      </c>
      <c r="C104" s="40" t="n">
        <v>13276</v>
      </c>
      <c r="D104" s="40" t="n">
        <v>66.14</v>
      </c>
      <c r="E104" s="40" t="n">
        <v>287.18</v>
      </c>
      <c r="F104" s="40" t="n">
        <v>36.39</v>
      </c>
      <c r="G104" s="40" t="n">
        <v>16.11</v>
      </c>
      <c r="H104" s="40" t="n">
        <v>21.32</v>
      </c>
      <c r="I104" s="41" t="n">
        <v>307</v>
      </c>
      <c r="J104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104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104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104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104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104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104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104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104" s="43">
        <f>(Dashboard!$C$13*tblHistory[[#This Row],[NDX S]]+Dashboard!$C$14*tblHistory[[#This Row],[SOX S]]+Dashboard!$C$15*tblHistory[[#This Row],[AIQ S]])/SUM(Dashboard!$C$13:$C$15)*100</f>
        <v/>
      </c>
      <c r="S104" s="43">
        <f>(Dashboard!$C$16*tblHistory[[#This Row],[ORCL S]]+Dashboard!$C$17*tblHistory[[#This Row],[CRWV S]])/SUM(Dashboard!$C$16:$C$17)*100</f>
        <v/>
      </c>
      <c r="T104" s="43">
        <f>(Dashboard!$C$18*tblHistory[[#This Row],[BIZD S]]+Dashboard!$C$19*tblHistory[[#This Row],[BKLN S]]+Dashboard!$C$20*tblHistory[[#This Row],[HY S]])/SUM(Dashboard!$C$18:$C$20)*100</f>
        <v/>
      </c>
      <c r="U104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104" s="43">
        <f>IFERROR(--(tblHistory[[#This Row],[Score]]&gt;=50),0)</f>
        <v/>
      </c>
      <c r="W104" s="43">
        <f>IFERROR(--AND(tblHistory[[#This Row],[Score]]&gt;=60,tblHistory[[#This Row],[BIZD S]]&gt;=0.8,tblHistory[[#This Row],[BKLN S]]&gt;=0.5),0)</f>
        <v/>
      </c>
      <c r="X104" s="43">
        <f>IFERROR(--AND(tblHistory[[#This Row],[Score]]&gt;=70,tblHistory[[#This Row],[SOX S]]&gt;=0.83,tblHistory[[#This Row],[AIQ S]]&gt;=0.8),0)</f>
        <v/>
      </c>
      <c r="Y104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104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104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104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104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105">
      <c r="A105" s="39" t="n">
        <v>46169</v>
      </c>
      <c r="B105" s="40" t="n">
        <v>33858.3</v>
      </c>
      <c r="C105" s="40" t="n">
        <v>13400.32</v>
      </c>
      <c r="D105" s="40" t="n">
        <v>67.28</v>
      </c>
      <c r="E105" s="40" t="n">
        <v>286.54</v>
      </c>
      <c r="F105" s="40" t="n">
        <v>35.56</v>
      </c>
      <c r="G105" s="40" t="n">
        <v>16.39</v>
      </c>
      <c r="H105" s="40" t="n">
        <v>21.4</v>
      </c>
      <c r="I105" s="41" t="n">
        <v>310</v>
      </c>
      <c r="J105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105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105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105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105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105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105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105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105" s="43">
        <f>(Dashboard!$C$13*tblHistory[[#This Row],[NDX S]]+Dashboard!$C$14*tblHistory[[#This Row],[SOX S]]+Dashboard!$C$15*tblHistory[[#This Row],[AIQ S]])/SUM(Dashboard!$C$13:$C$15)*100</f>
        <v/>
      </c>
      <c r="S105" s="43">
        <f>(Dashboard!$C$16*tblHistory[[#This Row],[ORCL S]]+Dashboard!$C$17*tblHistory[[#This Row],[CRWV S]])/SUM(Dashboard!$C$16:$C$17)*100</f>
        <v/>
      </c>
      <c r="T105" s="43">
        <f>(Dashboard!$C$18*tblHistory[[#This Row],[BIZD S]]+Dashboard!$C$19*tblHistory[[#This Row],[BKLN S]]+Dashboard!$C$20*tblHistory[[#This Row],[HY S]])/SUM(Dashboard!$C$18:$C$20)*100</f>
        <v/>
      </c>
      <c r="U105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105" s="43">
        <f>IFERROR(--(tblHistory[[#This Row],[Score]]&gt;=50),0)</f>
        <v/>
      </c>
      <c r="W105" s="43">
        <f>IFERROR(--AND(tblHistory[[#This Row],[Score]]&gt;=60,tblHistory[[#This Row],[BIZD S]]&gt;=0.8,tblHistory[[#This Row],[BKLN S]]&gt;=0.5),0)</f>
        <v/>
      </c>
      <c r="X105" s="43">
        <f>IFERROR(--AND(tblHistory[[#This Row],[Score]]&gt;=70,tblHistory[[#This Row],[SOX S]]&gt;=0.83,tblHistory[[#This Row],[AIQ S]]&gt;=0.8),0)</f>
        <v/>
      </c>
      <c r="Y105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105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105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105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105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106">
      <c r="A106" s="39" t="n">
        <v>46168</v>
      </c>
      <c r="B106" s="40" t="n">
        <v>33484.89</v>
      </c>
      <c r="C106" s="40" t="n">
        <v>13323.21</v>
      </c>
      <c r="D106" s="40" t="n">
        <v>65.65000000000001</v>
      </c>
      <c r="E106" s="40" t="n">
        <v>283.21</v>
      </c>
      <c r="F106" s="40" t="n">
        <v>34.66</v>
      </c>
      <c r="G106" s="40" t="n">
        <v>16.15</v>
      </c>
      <c r="H106" s="40" t="n">
        <v>21.4</v>
      </c>
      <c r="I106" s="41" t="n">
        <v>313</v>
      </c>
      <c r="J106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106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106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106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106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106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106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106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106" s="43">
        <f>(Dashboard!$C$13*tblHistory[[#This Row],[NDX S]]+Dashboard!$C$14*tblHistory[[#This Row],[SOX S]]+Dashboard!$C$15*tblHistory[[#This Row],[AIQ S]])/SUM(Dashboard!$C$13:$C$15)*100</f>
        <v/>
      </c>
      <c r="S106" s="43">
        <f>(Dashboard!$C$16*tblHistory[[#This Row],[ORCL S]]+Dashboard!$C$17*tblHistory[[#This Row],[CRWV S]])/SUM(Dashboard!$C$16:$C$17)*100</f>
        <v/>
      </c>
      <c r="T106" s="43">
        <f>(Dashboard!$C$18*tblHistory[[#This Row],[BIZD S]]+Dashboard!$C$19*tblHistory[[#This Row],[BKLN S]]+Dashboard!$C$20*tblHistory[[#This Row],[HY S]])/SUM(Dashboard!$C$18:$C$20)*100</f>
        <v/>
      </c>
      <c r="U106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106" s="43">
        <f>IFERROR(--(tblHistory[[#This Row],[Score]]&gt;=50),0)</f>
        <v/>
      </c>
      <c r="W106" s="43">
        <f>IFERROR(--AND(tblHistory[[#This Row],[Score]]&gt;=60,tblHistory[[#This Row],[BIZD S]]&gt;=0.8,tblHistory[[#This Row],[BKLN S]]&gt;=0.5),0)</f>
        <v/>
      </c>
      <c r="X106" s="43">
        <f>IFERROR(--AND(tblHistory[[#This Row],[Score]]&gt;=70,tblHistory[[#This Row],[SOX S]]&gt;=0.83,tblHistory[[#This Row],[AIQ S]]&gt;=0.8),0)</f>
        <v/>
      </c>
      <c r="Y106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106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106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106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106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107">
      <c r="A107" s="39" t="n">
        <v>46167</v>
      </c>
      <c r="B107" s="40" t="n">
        <v>33602.92</v>
      </c>
      <c r="C107" s="40" t="n">
        <v>13514.7</v>
      </c>
      <c r="D107" s="40" t="n">
        <v>64.73999999999999</v>
      </c>
      <c r="E107" s="40" t="n">
        <v>280.26</v>
      </c>
      <c r="F107" s="40" t="n">
        <v>36.32</v>
      </c>
      <c r="G107" s="40" t="n">
        <v>16.2</v>
      </c>
      <c r="H107" s="40" t="n">
        <v>21.42</v>
      </c>
      <c r="I107" s="41" t="n">
        <v>309</v>
      </c>
      <c r="J107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107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107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107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107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107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107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107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107" s="43">
        <f>(Dashboard!$C$13*tblHistory[[#This Row],[NDX S]]+Dashboard!$C$14*tblHistory[[#This Row],[SOX S]]+Dashboard!$C$15*tblHistory[[#This Row],[AIQ S]])/SUM(Dashboard!$C$13:$C$15)*100</f>
        <v/>
      </c>
      <c r="S107" s="43">
        <f>(Dashboard!$C$16*tblHistory[[#This Row],[ORCL S]]+Dashboard!$C$17*tblHistory[[#This Row],[CRWV S]])/SUM(Dashboard!$C$16:$C$17)*100</f>
        <v/>
      </c>
      <c r="T107" s="43">
        <f>(Dashboard!$C$18*tblHistory[[#This Row],[BIZD S]]+Dashboard!$C$19*tblHistory[[#This Row],[BKLN S]]+Dashboard!$C$20*tblHistory[[#This Row],[HY S]])/SUM(Dashboard!$C$18:$C$20)*100</f>
        <v/>
      </c>
      <c r="U107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107" s="43">
        <f>IFERROR(--(tblHistory[[#This Row],[Score]]&gt;=50),0)</f>
        <v/>
      </c>
      <c r="W107" s="43">
        <f>IFERROR(--AND(tblHistory[[#This Row],[Score]]&gt;=60,tblHistory[[#This Row],[BIZD S]]&gt;=0.8,tblHistory[[#This Row],[BKLN S]]&gt;=0.5),0)</f>
        <v/>
      </c>
      <c r="X107" s="43">
        <f>IFERROR(--AND(tblHistory[[#This Row],[Score]]&gt;=70,tblHistory[[#This Row],[SOX S]]&gt;=0.83,tblHistory[[#This Row],[AIQ S]]&gt;=0.8),0)</f>
        <v/>
      </c>
      <c r="Y107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107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107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107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107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108">
      <c r="A108" s="39" t="n">
        <v>46164</v>
      </c>
      <c r="B108" s="40" t="n">
        <v>32553.04</v>
      </c>
      <c r="C108" s="40" t="n">
        <v>13214.05</v>
      </c>
      <c r="D108" s="40" t="n">
        <v>65.55</v>
      </c>
      <c r="E108" s="40" t="n">
        <v>286.16</v>
      </c>
      <c r="F108" s="40" t="n">
        <v>35.41</v>
      </c>
      <c r="G108" s="40" t="n">
        <v>16.15</v>
      </c>
      <c r="H108" s="40" t="n">
        <v>21.4</v>
      </c>
      <c r="I108" s="41" t="n">
        <v>311</v>
      </c>
      <c r="J108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108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108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108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108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108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108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108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108" s="43">
        <f>(Dashboard!$C$13*tblHistory[[#This Row],[NDX S]]+Dashboard!$C$14*tblHistory[[#This Row],[SOX S]]+Dashboard!$C$15*tblHistory[[#This Row],[AIQ S]])/SUM(Dashboard!$C$13:$C$15)*100</f>
        <v/>
      </c>
      <c r="S108" s="43">
        <f>(Dashboard!$C$16*tblHistory[[#This Row],[ORCL S]]+Dashboard!$C$17*tblHistory[[#This Row],[CRWV S]])/SUM(Dashboard!$C$16:$C$17)*100</f>
        <v/>
      </c>
      <c r="T108" s="43">
        <f>(Dashboard!$C$18*tblHistory[[#This Row],[BIZD S]]+Dashboard!$C$19*tblHistory[[#This Row],[BKLN S]]+Dashboard!$C$20*tblHistory[[#This Row],[HY S]])/SUM(Dashboard!$C$18:$C$20)*100</f>
        <v/>
      </c>
      <c r="U108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108" s="43">
        <f>IFERROR(--(tblHistory[[#This Row],[Score]]&gt;=50),0)</f>
        <v/>
      </c>
      <c r="W108" s="43">
        <f>IFERROR(--AND(tblHistory[[#This Row],[Score]]&gt;=60,tblHistory[[#This Row],[BIZD S]]&gt;=0.8,tblHistory[[#This Row],[BKLN S]]&gt;=0.5),0)</f>
        <v/>
      </c>
      <c r="X108" s="43">
        <f>IFERROR(--AND(tblHistory[[#This Row],[Score]]&gt;=70,tblHistory[[#This Row],[SOX S]]&gt;=0.83,tblHistory[[#This Row],[AIQ S]]&gt;=0.8),0)</f>
        <v/>
      </c>
      <c r="Y108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108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108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108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108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109">
      <c r="A109" s="39" t="n">
        <v>46163</v>
      </c>
      <c r="B109" s="40" t="n">
        <v>32498.16</v>
      </c>
      <c r="C109" s="40" t="n">
        <v>13316.5</v>
      </c>
      <c r="D109" s="40" t="n">
        <v>64.28</v>
      </c>
      <c r="E109" s="40" t="n">
        <v>286.35</v>
      </c>
      <c r="F109" s="40" t="n">
        <v>33.09</v>
      </c>
      <c r="G109" s="40" t="n">
        <v>16</v>
      </c>
      <c r="H109" s="40" t="n">
        <v>21.39</v>
      </c>
      <c r="I109" s="41" t="n">
        <v>304</v>
      </c>
      <c r="J109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109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109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109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109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109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109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109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109" s="43">
        <f>(Dashboard!$C$13*tblHistory[[#This Row],[NDX S]]+Dashboard!$C$14*tblHistory[[#This Row],[SOX S]]+Dashboard!$C$15*tblHistory[[#This Row],[AIQ S]])/SUM(Dashboard!$C$13:$C$15)*100</f>
        <v/>
      </c>
      <c r="S109" s="43">
        <f>(Dashboard!$C$16*tblHistory[[#This Row],[ORCL S]]+Dashboard!$C$17*tblHistory[[#This Row],[CRWV S]])/SUM(Dashboard!$C$16:$C$17)*100</f>
        <v/>
      </c>
      <c r="T109" s="43">
        <f>(Dashboard!$C$18*tblHistory[[#This Row],[BIZD S]]+Dashboard!$C$19*tblHistory[[#This Row],[BKLN S]]+Dashboard!$C$20*tblHistory[[#This Row],[HY S]])/SUM(Dashboard!$C$18:$C$20)*100</f>
        <v/>
      </c>
      <c r="U109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109" s="43">
        <f>IFERROR(--(tblHistory[[#This Row],[Score]]&gt;=50),0)</f>
        <v/>
      </c>
      <c r="W109" s="43">
        <f>IFERROR(--AND(tblHistory[[#This Row],[Score]]&gt;=60,tblHistory[[#This Row],[BIZD S]]&gt;=0.8,tblHistory[[#This Row],[BKLN S]]&gt;=0.5),0)</f>
        <v/>
      </c>
      <c r="X109" s="43">
        <f>IFERROR(--AND(tblHistory[[#This Row],[Score]]&gt;=70,tblHistory[[#This Row],[SOX S]]&gt;=0.83,tblHistory[[#This Row],[AIQ S]]&gt;=0.8),0)</f>
        <v/>
      </c>
      <c r="Y109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109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109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109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109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110">
      <c r="A110" s="39" t="n">
        <v>46162</v>
      </c>
      <c r="B110" s="40" t="n">
        <v>32562.74</v>
      </c>
      <c r="C110" s="40" t="n">
        <v>13085.02</v>
      </c>
      <c r="D110" s="40" t="n">
        <v>63.84</v>
      </c>
      <c r="E110" s="40" t="n">
        <v>288.26</v>
      </c>
      <c r="F110" s="40" t="n">
        <v>34.22</v>
      </c>
      <c r="G110" s="40" t="n">
        <v>16.12</v>
      </c>
      <c r="H110" s="40" t="n">
        <v>21.32</v>
      </c>
      <c r="I110" s="41" t="n">
        <v>301</v>
      </c>
      <c r="J110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110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110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110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110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110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110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110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110" s="43">
        <f>(Dashboard!$C$13*tblHistory[[#This Row],[NDX S]]+Dashboard!$C$14*tblHistory[[#This Row],[SOX S]]+Dashboard!$C$15*tblHistory[[#This Row],[AIQ S]])/SUM(Dashboard!$C$13:$C$15)*100</f>
        <v/>
      </c>
      <c r="S110" s="43">
        <f>(Dashboard!$C$16*tblHistory[[#This Row],[ORCL S]]+Dashboard!$C$17*tblHistory[[#This Row],[CRWV S]])/SUM(Dashboard!$C$16:$C$17)*100</f>
        <v/>
      </c>
      <c r="T110" s="43">
        <f>(Dashboard!$C$18*tblHistory[[#This Row],[BIZD S]]+Dashboard!$C$19*tblHistory[[#This Row],[BKLN S]]+Dashboard!$C$20*tblHistory[[#This Row],[HY S]])/SUM(Dashboard!$C$18:$C$20)*100</f>
        <v/>
      </c>
      <c r="U110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110" s="43">
        <f>IFERROR(--(tblHistory[[#This Row],[Score]]&gt;=50),0)</f>
        <v/>
      </c>
      <c r="W110" s="43">
        <f>IFERROR(--AND(tblHistory[[#This Row],[Score]]&gt;=60,tblHistory[[#This Row],[BIZD S]]&gt;=0.8,tblHistory[[#This Row],[BKLN S]]&gt;=0.5),0)</f>
        <v/>
      </c>
      <c r="X110" s="43">
        <f>IFERROR(--AND(tblHistory[[#This Row],[Score]]&gt;=70,tblHistory[[#This Row],[SOX S]]&gt;=0.83,tblHistory[[#This Row],[AIQ S]]&gt;=0.8),0)</f>
        <v/>
      </c>
      <c r="Y110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110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110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110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110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111">
      <c r="A111" s="39" t="n">
        <v>46161</v>
      </c>
      <c r="B111" s="40" t="n">
        <v>32062.55</v>
      </c>
      <c r="C111" s="40" t="n">
        <v>13066.96</v>
      </c>
      <c r="D111" s="40" t="n">
        <v>64.08</v>
      </c>
      <c r="E111" s="40" t="n">
        <v>292.12</v>
      </c>
      <c r="F111" s="40" t="n">
        <v>35.35</v>
      </c>
      <c r="G111" s="40" t="n">
        <v>15.9</v>
      </c>
      <c r="H111" s="40" t="n">
        <v>21.32</v>
      </c>
      <c r="I111" s="41" t="n">
        <v>296</v>
      </c>
      <c r="J111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111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111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111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111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111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111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111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111" s="43">
        <f>(Dashboard!$C$13*tblHistory[[#This Row],[NDX S]]+Dashboard!$C$14*tblHistory[[#This Row],[SOX S]]+Dashboard!$C$15*tblHistory[[#This Row],[AIQ S]])/SUM(Dashboard!$C$13:$C$15)*100</f>
        <v/>
      </c>
      <c r="S111" s="43">
        <f>(Dashboard!$C$16*tblHistory[[#This Row],[ORCL S]]+Dashboard!$C$17*tblHistory[[#This Row],[CRWV S]])/SUM(Dashboard!$C$16:$C$17)*100</f>
        <v/>
      </c>
      <c r="T111" s="43">
        <f>(Dashboard!$C$18*tblHistory[[#This Row],[BIZD S]]+Dashboard!$C$19*tblHistory[[#This Row],[BKLN S]]+Dashboard!$C$20*tblHistory[[#This Row],[HY S]])/SUM(Dashboard!$C$18:$C$20)*100</f>
        <v/>
      </c>
      <c r="U111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111" s="43">
        <f>IFERROR(--(tblHistory[[#This Row],[Score]]&gt;=50),0)</f>
        <v/>
      </c>
      <c r="W111" s="43">
        <f>IFERROR(--AND(tblHistory[[#This Row],[Score]]&gt;=60,tblHistory[[#This Row],[BIZD S]]&gt;=0.8,tblHistory[[#This Row],[BKLN S]]&gt;=0.5),0)</f>
        <v/>
      </c>
      <c r="X111" s="43">
        <f>IFERROR(--AND(tblHistory[[#This Row],[Score]]&gt;=70,tblHistory[[#This Row],[SOX S]]&gt;=0.83,tblHistory[[#This Row],[AIQ S]]&gt;=0.8),0)</f>
        <v/>
      </c>
      <c r="Y111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111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111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111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111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112">
      <c r="A112" s="39" t="n">
        <v>46160</v>
      </c>
      <c r="B112" s="40" t="n">
        <v>31078.99</v>
      </c>
      <c r="C112" s="40" t="n">
        <v>13139.76</v>
      </c>
      <c r="D112" s="40" t="n">
        <v>62.62</v>
      </c>
      <c r="E112" s="40" t="n">
        <v>295.64</v>
      </c>
      <c r="F112" s="40" t="n">
        <v>38.38</v>
      </c>
      <c r="G112" s="40" t="n">
        <v>15.84</v>
      </c>
      <c r="H112" s="40" t="n">
        <v>21.33</v>
      </c>
      <c r="I112" s="41" t="n">
        <v>286</v>
      </c>
      <c r="J112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112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112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112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112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112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112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112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112" s="43">
        <f>(Dashboard!$C$13*tblHistory[[#This Row],[NDX S]]+Dashboard!$C$14*tblHistory[[#This Row],[SOX S]]+Dashboard!$C$15*tblHistory[[#This Row],[AIQ S]])/SUM(Dashboard!$C$13:$C$15)*100</f>
        <v/>
      </c>
      <c r="S112" s="43">
        <f>(Dashboard!$C$16*tblHistory[[#This Row],[ORCL S]]+Dashboard!$C$17*tblHistory[[#This Row],[CRWV S]])/SUM(Dashboard!$C$16:$C$17)*100</f>
        <v/>
      </c>
      <c r="T112" s="43">
        <f>(Dashboard!$C$18*tblHistory[[#This Row],[BIZD S]]+Dashboard!$C$19*tblHistory[[#This Row],[BKLN S]]+Dashboard!$C$20*tblHistory[[#This Row],[HY S]])/SUM(Dashboard!$C$18:$C$20)*100</f>
        <v/>
      </c>
      <c r="U112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112" s="43">
        <f>IFERROR(--(tblHistory[[#This Row],[Score]]&gt;=50),0)</f>
        <v/>
      </c>
      <c r="W112" s="43">
        <f>IFERROR(--AND(tblHistory[[#This Row],[Score]]&gt;=60,tblHistory[[#This Row],[BIZD S]]&gt;=0.8,tblHistory[[#This Row],[BKLN S]]&gt;=0.5),0)</f>
        <v/>
      </c>
      <c r="X112" s="43">
        <f>IFERROR(--AND(tblHistory[[#This Row],[Score]]&gt;=70,tblHistory[[#This Row],[SOX S]]&gt;=0.83,tblHistory[[#This Row],[AIQ S]]&gt;=0.8),0)</f>
        <v/>
      </c>
      <c r="Y112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112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112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112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112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113">
      <c r="A113" s="39" t="n">
        <v>46157</v>
      </c>
      <c r="B113" s="40" t="n">
        <v>31139.6</v>
      </c>
      <c r="C113" s="40" t="n">
        <v>13370.68</v>
      </c>
      <c r="D113" s="40" t="n">
        <v>62.44</v>
      </c>
      <c r="E113" s="40" t="n">
        <v>289.28</v>
      </c>
      <c r="F113" s="40" t="n">
        <v>38.54</v>
      </c>
      <c r="G113" s="40" t="n">
        <v>15.95</v>
      </c>
      <c r="H113" s="40" t="n">
        <v>21.26</v>
      </c>
      <c r="I113" s="41" t="n">
        <v>296</v>
      </c>
      <c r="J113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113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113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113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113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113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113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113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113" s="43">
        <f>(Dashboard!$C$13*tblHistory[[#This Row],[NDX S]]+Dashboard!$C$14*tblHistory[[#This Row],[SOX S]]+Dashboard!$C$15*tblHistory[[#This Row],[AIQ S]])/SUM(Dashboard!$C$13:$C$15)*100</f>
        <v/>
      </c>
      <c r="S113" s="43">
        <f>(Dashboard!$C$16*tblHistory[[#This Row],[ORCL S]]+Dashboard!$C$17*tblHistory[[#This Row],[CRWV S]])/SUM(Dashboard!$C$16:$C$17)*100</f>
        <v/>
      </c>
      <c r="T113" s="43">
        <f>(Dashboard!$C$18*tblHistory[[#This Row],[BIZD S]]+Dashboard!$C$19*tblHistory[[#This Row],[BKLN S]]+Dashboard!$C$20*tblHistory[[#This Row],[HY S]])/SUM(Dashboard!$C$18:$C$20)*100</f>
        <v/>
      </c>
      <c r="U113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113" s="43">
        <f>IFERROR(--(tblHistory[[#This Row],[Score]]&gt;=50),0)</f>
        <v/>
      </c>
      <c r="W113" s="43">
        <f>IFERROR(--AND(tblHistory[[#This Row],[Score]]&gt;=60,tblHistory[[#This Row],[BIZD S]]&gt;=0.8,tblHistory[[#This Row],[BKLN S]]&gt;=0.5),0)</f>
        <v/>
      </c>
      <c r="X113" s="43">
        <f>IFERROR(--AND(tblHistory[[#This Row],[Score]]&gt;=70,tblHistory[[#This Row],[SOX S]]&gt;=0.83,tblHistory[[#This Row],[AIQ S]]&gt;=0.8),0)</f>
        <v/>
      </c>
      <c r="Y113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113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113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113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113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114">
      <c r="A114" s="39" t="n">
        <v>46156</v>
      </c>
      <c r="B114" s="40" t="n">
        <v>30783.58</v>
      </c>
      <c r="C114" s="40" t="n">
        <v>12728.93</v>
      </c>
      <c r="D114" s="40" t="n">
        <v>62.14</v>
      </c>
      <c r="E114" s="40" t="n">
        <v>289.03</v>
      </c>
      <c r="F114" s="40" t="n">
        <v>39.61</v>
      </c>
      <c r="G114" s="40" t="n">
        <v>16.15</v>
      </c>
      <c r="H114" s="40" t="n">
        <v>21.27</v>
      </c>
      <c r="I114" s="41" t="n">
        <v>298</v>
      </c>
      <c r="J114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114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114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114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114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114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114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114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114" s="43">
        <f>(Dashboard!$C$13*tblHistory[[#This Row],[NDX S]]+Dashboard!$C$14*tblHistory[[#This Row],[SOX S]]+Dashboard!$C$15*tblHistory[[#This Row],[AIQ S]])/SUM(Dashboard!$C$13:$C$15)*100</f>
        <v/>
      </c>
      <c r="S114" s="43">
        <f>(Dashboard!$C$16*tblHistory[[#This Row],[ORCL S]]+Dashboard!$C$17*tblHistory[[#This Row],[CRWV S]])/SUM(Dashboard!$C$16:$C$17)*100</f>
        <v/>
      </c>
      <c r="T114" s="43">
        <f>(Dashboard!$C$18*tblHistory[[#This Row],[BIZD S]]+Dashboard!$C$19*tblHistory[[#This Row],[BKLN S]]+Dashboard!$C$20*tblHistory[[#This Row],[HY S]])/SUM(Dashboard!$C$18:$C$20)*100</f>
        <v/>
      </c>
      <c r="U114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114" s="43">
        <f>IFERROR(--(tblHistory[[#This Row],[Score]]&gt;=50),0)</f>
        <v/>
      </c>
      <c r="W114" s="43">
        <f>IFERROR(--AND(tblHistory[[#This Row],[Score]]&gt;=60,tblHistory[[#This Row],[BIZD S]]&gt;=0.8,tblHistory[[#This Row],[BKLN S]]&gt;=0.5),0)</f>
        <v/>
      </c>
      <c r="X114" s="43">
        <f>IFERROR(--AND(tblHistory[[#This Row],[Score]]&gt;=70,tblHistory[[#This Row],[SOX S]]&gt;=0.83,tblHistory[[#This Row],[AIQ S]]&gt;=0.8),0)</f>
        <v/>
      </c>
      <c r="Y114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114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114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114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114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115">
      <c r="A115" s="39" t="n">
        <v>46155</v>
      </c>
      <c r="B115" s="40" t="n">
        <v>30545.74</v>
      </c>
      <c r="C115" s="40" t="n">
        <v>12601.63</v>
      </c>
      <c r="D115" s="40" t="n">
        <v>61.74</v>
      </c>
      <c r="E115" s="40" t="n">
        <v>292.34</v>
      </c>
      <c r="F115" s="40" t="n">
        <v>37.13</v>
      </c>
      <c r="G115" s="40" t="n">
        <v>16.22</v>
      </c>
      <c r="H115" s="40" t="n">
        <v>21.25</v>
      </c>
      <c r="I115" s="41" t="n">
        <v>301</v>
      </c>
      <c r="J115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115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115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115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115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115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115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115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115" s="43">
        <f>(Dashboard!$C$13*tblHistory[[#This Row],[NDX S]]+Dashboard!$C$14*tblHistory[[#This Row],[SOX S]]+Dashboard!$C$15*tblHistory[[#This Row],[AIQ S]])/SUM(Dashboard!$C$13:$C$15)*100</f>
        <v/>
      </c>
      <c r="S115" s="43">
        <f>(Dashboard!$C$16*tblHistory[[#This Row],[ORCL S]]+Dashboard!$C$17*tblHistory[[#This Row],[CRWV S]])/SUM(Dashboard!$C$16:$C$17)*100</f>
        <v/>
      </c>
      <c r="T115" s="43">
        <f>(Dashboard!$C$18*tblHistory[[#This Row],[BIZD S]]+Dashboard!$C$19*tblHistory[[#This Row],[BKLN S]]+Dashboard!$C$20*tblHistory[[#This Row],[HY S]])/SUM(Dashboard!$C$18:$C$20)*100</f>
        <v/>
      </c>
      <c r="U115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115" s="43">
        <f>IFERROR(--(tblHistory[[#This Row],[Score]]&gt;=50),0)</f>
        <v/>
      </c>
      <c r="W115" s="43">
        <f>IFERROR(--AND(tblHistory[[#This Row],[Score]]&gt;=60,tblHistory[[#This Row],[BIZD S]]&gt;=0.8,tblHistory[[#This Row],[BKLN S]]&gt;=0.5),0)</f>
        <v/>
      </c>
      <c r="X115" s="43">
        <f>IFERROR(--AND(tblHistory[[#This Row],[Score]]&gt;=70,tblHistory[[#This Row],[SOX S]]&gt;=0.83,tblHistory[[#This Row],[AIQ S]]&gt;=0.8),0)</f>
        <v/>
      </c>
      <c r="Y115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115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115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115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115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116">
      <c r="A116" s="39" t="n">
        <v>46154</v>
      </c>
      <c r="B116" s="40" t="n">
        <v>30138.37</v>
      </c>
      <c r="C116" s="40" t="n">
        <v>12552.42</v>
      </c>
      <c r="D116" s="40" t="n">
        <v>62.21</v>
      </c>
      <c r="E116" s="40" t="n">
        <v>279.24</v>
      </c>
      <c r="F116" s="40" t="n">
        <v>37.64</v>
      </c>
      <c r="G116" s="40" t="n">
        <v>16.32</v>
      </c>
      <c r="H116" s="40" t="n">
        <v>21.26</v>
      </c>
      <c r="I116" s="41" t="n">
        <v>300</v>
      </c>
      <c r="J116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116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116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116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116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116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116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116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116" s="43">
        <f>(Dashboard!$C$13*tblHistory[[#This Row],[NDX S]]+Dashboard!$C$14*tblHistory[[#This Row],[SOX S]]+Dashboard!$C$15*tblHistory[[#This Row],[AIQ S]])/SUM(Dashboard!$C$13:$C$15)*100</f>
        <v/>
      </c>
      <c r="S116" s="43">
        <f>(Dashboard!$C$16*tblHistory[[#This Row],[ORCL S]]+Dashboard!$C$17*tblHistory[[#This Row],[CRWV S]])/SUM(Dashboard!$C$16:$C$17)*100</f>
        <v/>
      </c>
      <c r="T116" s="43">
        <f>(Dashboard!$C$18*tblHistory[[#This Row],[BIZD S]]+Dashboard!$C$19*tblHistory[[#This Row],[BKLN S]]+Dashboard!$C$20*tblHistory[[#This Row],[HY S]])/SUM(Dashboard!$C$18:$C$20)*100</f>
        <v/>
      </c>
      <c r="U116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116" s="43">
        <f>IFERROR(--(tblHistory[[#This Row],[Score]]&gt;=50),0)</f>
        <v/>
      </c>
      <c r="W116" s="43">
        <f>IFERROR(--AND(tblHistory[[#This Row],[Score]]&gt;=60,tblHistory[[#This Row],[BIZD S]]&gt;=0.8,tblHistory[[#This Row],[BKLN S]]&gt;=0.5),0)</f>
        <v/>
      </c>
      <c r="X116" s="43">
        <f>IFERROR(--AND(tblHistory[[#This Row],[Score]]&gt;=70,tblHistory[[#This Row],[SOX S]]&gt;=0.83,tblHistory[[#This Row],[AIQ S]]&gt;=0.8),0)</f>
        <v/>
      </c>
      <c r="Y116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116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116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116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116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117">
      <c r="A117" s="39" t="n">
        <v>46153</v>
      </c>
      <c r="B117" s="40" t="n">
        <v>30227.63</v>
      </c>
      <c r="C117" s="40" t="n">
        <v>13143.16</v>
      </c>
      <c r="D117" s="40" t="n">
        <v>62.51</v>
      </c>
      <c r="E117" s="40" t="n">
        <v>276.8</v>
      </c>
      <c r="F117" s="40" t="n">
        <v>35.93</v>
      </c>
      <c r="G117" s="40" t="n">
        <v>16.17</v>
      </c>
      <c r="H117" s="40" t="n">
        <v>21.21</v>
      </c>
      <c r="I117" s="41" t="n">
        <v>293</v>
      </c>
      <c r="J117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117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117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117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117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117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117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117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117" s="43">
        <f>(Dashboard!$C$13*tblHistory[[#This Row],[NDX S]]+Dashboard!$C$14*tblHistory[[#This Row],[SOX S]]+Dashboard!$C$15*tblHistory[[#This Row],[AIQ S]])/SUM(Dashboard!$C$13:$C$15)*100</f>
        <v/>
      </c>
      <c r="S117" s="43">
        <f>(Dashboard!$C$16*tblHistory[[#This Row],[ORCL S]]+Dashboard!$C$17*tblHistory[[#This Row],[CRWV S]])/SUM(Dashboard!$C$16:$C$17)*100</f>
        <v/>
      </c>
      <c r="T117" s="43">
        <f>(Dashboard!$C$18*tblHistory[[#This Row],[BIZD S]]+Dashboard!$C$19*tblHistory[[#This Row],[BKLN S]]+Dashboard!$C$20*tblHistory[[#This Row],[HY S]])/SUM(Dashboard!$C$18:$C$20)*100</f>
        <v/>
      </c>
      <c r="U117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117" s="43">
        <f>IFERROR(--(tblHistory[[#This Row],[Score]]&gt;=50),0)</f>
        <v/>
      </c>
      <c r="W117" s="43">
        <f>IFERROR(--AND(tblHistory[[#This Row],[Score]]&gt;=60,tblHistory[[#This Row],[BIZD S]]&gt;=0.8,tblHistory[[#This Row],[BKLN S]]&gt;=0.5),0)</f>
        <v/>
      </c>
      <c r="X117" s="43">
        <f>IFERROR(--AND(tblHistory[[#This Row],[Score]]&gt;=70,tblHistory[[#This Row],[SOX S]]&gt;=0.83,tblHistory[[#This Row],[AIQ S]]&gt;=0.8),0)</f>
        <v/>
      </c>
      <c r="Y117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117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117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117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117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118">
      <c r="A118" s="39" t="n">
        <v>46150</v>
      </c>
      <c r="B118" s="40" t="n">
        <v>29946.07</v>
      </c>
      <c r="C118" s="40" t="n">
        <v>12915.84</v>
      </c>
      <c r="D118" s="40" t="n">
        <v>62.33</v>
      </c>
      <c r="E118" s="40" t="n">
        <v>270.35</v>
      </c>
      <c r="F118" s="40" t="n">
        <v>35.18</v>
      </c>
      <c r="G118" s="40" t="n">
        <v>16.08</v>
      </c>
      <c r="H118" s="40" t="n">
        <v>21.23</v>
      </c>
      <c r="I118" s="41" t="n">
        <v>300</v>
      </c>
      <c r="J118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118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118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118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118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118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118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118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118" s="43">
        <f>(Dashboard!$C$13*tblHistory[[#This Row],[NDX S]]+Dashboard!$C$14*tblHistory[[#This Row],[SOX S]]+Dashboard!$C$15*tblHistory[[#This Row],[AIQ S]])/SUM(Dashboard!$C$13:$C$15)*100</f>
        <v/>
      </c>
      <c r="S118" s="43">
        <f>(Dashboard!$C$16*tblHistory[[#This Row],[ORCL S]]+Dashboard!$C$17*tblHistory[[#This Row],[CRWV S]])/SUM(Dashboard!$C$16:$C$17)*100</f>
        <v/>
      </c>
      <c r="T118" s="43">
        <f>(Dashboard!$C$18*tblHistory[[#This Row],[BIZD S]]+Dashboard!$C$19*tblHistory[[#This Row],[BKLN S]]+Dashboard!$C$20*tblHistory[[#This Row],[HY S]])/SUM(Dashboard!$C$18:$C$20)*100</f>
        <v/>
      </c>
      <c r="U118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118" s="43">
        <f>IFERROR(--(tblHistory[[#This Row],[Score]]&gt;=50),0)</f>
        <v/>
      </c>
      <c r="W118" s="43">
        <f>IFERROR(--AND(tblHistory[[#This Row],[Score]]&gt;=60,tblHistory[[#This Row],[BIZD S]]&gt;=0.8,tblHistory[[#This Row],[BKLN S]]&gt;=0.5),0)</f>
        <v/>
      </c>
      <c r="X118" s="43">
        <f>IFERROR(--AND(tblHistory[[#This Row],[Score]]&gt;=70,tblHistory[[#This Row],[SOX S]]&gt;=0.83,tblHistory[[#This Row],[AIQ S]]&gt;=0.8),0)</f>
        <v/>
      </c>
      <c r="Y118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118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118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118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118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119">
      <c r="A119" s="39" t="n">
        <v>46149</v>
      </c>
      <c r="B119" s="40" t="n">
        <v>29981.47</v>
      </c>
      <c r="C119" s="40" t="n">
        <v>12728.19</v>
      </c>
      <c r="D119" s="40" t="n">
        <v>60.34</v>
      </c>
      <c r="E119" s="40" t="n">
        <v>279.93</v>
      </c>
      <c r="F119" s="40" t="n">
        <v>35.24</v>
      </c>
      <c r="G119" s="40" t="n">
        <v>16.06</v>
      </c>
      <c r="H119" s="40" t="n">
        <v>21.21</v>
      </c>
      <c r="I119" s="41" t="n">
        <v>301</v>
      </c>
      <c r="J119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119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119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119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119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119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119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119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119" s="43">
        <f>(Dashboard!$C$13*tblHistory[[#This Row],[NDX S]]+Dashboard!$C$14*tblHistory[[#This Row],[SOX S]]+Dashboard!$C$15*tblHistory[[#This Row],[AIQ S]])/SUM(Dashboard!$C$13:$C$15)*100</f>
        <v/>
      </c>
      <c r="S119" s="43">
        <f>(Dashboard!$C$16*tblHistory[[#This Row],[ORCL S]]+Dashboard!$C$17*tblHistory[[#This Row],[CRWV S]])/SUM(Dashboard!$C$16:$C$17)*100</f>
        <v/>
      </c>
      <c r="T119" s="43">
        <f>(Dashboard!$C$18*tblHistory[[#This Row],[BIZD S]]+Dashboard!$C$19*tblHistory[[#This Row],[BKLN S]]+Dashboard!$C$20*tblHistory[[#This Row],[HY S]])/SUM(Dashboard!$C$18:$C$20)*100</f>
        <v/>
      </c>
      <c r="U119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119" s="43">
        <f>IFERROR(--(tblHistory[[#This Row],[Score]]&gt;=50),0)</f>
        <v/>
      </c>
      <c r="W119" s="43">
        <f>IFERROR(--AND(tblHistory[[#This Row],[Score]]&gt;=60,tblHistory[[#This Row],[BIZD S]]&gt;=0.8,tblHistory[[#This Row],[BKLN S]]&gt;=0.5),0)</f>
        <v/>
      </c>
      <c r="X119" s="43">
        <f>IFERROR(--AND(tblHistory[[#This Row],[Score]]&gt;=70,tblHistory[[#This Row],[SOX S]]&gt;=0.83,tblHistory[[#This Row],[AIQ S]]&gt;=0.8),0)</f>
        <v/>
      </c>
      <c r="Y119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119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119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119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119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120">
      <c r="A120" s="39" t="n">
        <v>46148</v>
      </c>
      <c r="B120" s="40" t="n">
        <v>30355.37</v>
      </c>
      <c r="C120" s="40" t="n">
        <v>12503.53</v>
      </c>
      <c r="D120" s="40" t="n">
        <v>60.4</v>
      </c>
      <c r="E120" s="40" t="n">
        <v>275.42</v>
      </c>
      <c r="F120" s="40" t="n">
        <v>38.27</v>
      </c>
      <c r="G120" s="40" t="n">
        <v>16.29</v>
      </c>
      <c r="H120" s="40" t="n">
        <v>21.27</v>
      </c>
      <c r="I120" s="41" t="n">
        <v>304</v>
      </c>
      <c r="J120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120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120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120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120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120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120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120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120" s="43">
        <f>(Dashboard!$C$13*tblHistory[[#This Row],[NDX S]]+Dashboard!$C$14*tblHistory[[#This Row],[SOX S]]+Dashboard!$C$15*tblHistory[[#This Row],[AIQ S]])/SUM(Dashboard!$C$13:$C$15)*100</f>
        <v/>
      </c>
      <c r="S120" s="43">
        <f>(Dashboard!$C$16*tblHistory[[#This Row],[ORCL S]]+Dashboard!$C$17*tblHistory[[#This Row],[CRWV S]])/SUM(Dashboard!$C$16:$C$17)*100</f>
        <v/>
      </c>
      <c r="T120" s="43">
        <f>(Dashboard!$C$18*tblHistory[[#This Row],[BIZD S]]+Dashboard!$C$19*tblHistory[[#This Row],[BKLN S]]+Dashboard!$C$20*tblHistory[[#This Row],[HY S]])/SUM(Dashboard!$C$18:$C$20)*100</f>
        <v/>
      </c>
      <c r="U120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120" s="43">
        <f>IFERROR(--(tblHistory[[#This Row],[Score]]&gt;=50),0)</f>
        <v/>
      </c>
      <c r="W120" s="43">
        <f>IFERROR(--AND(tblHistory[[#This Row],[Score]]&gt;=60,tblHistory[[#This Row],[BIZD S]]&gt;=0.8,tblHistory[[#This Row],[BKLN S]]&gt;=0.5),0)</f>
        <v/>
      </c>
      <c r="X120" s="43">
        <f>IFERROR(--AND(tblHistory[[#This Row],[Score]]&gt;=70,tblHistory[[#This Row],[SOX S]]&gt;=0.83,tblHistory[[#This Row],[AIQ S]]&gt;=0.8),0)</f>
        <v/>
      </c>
      <c r="Y120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120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120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120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120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121">
      <c r="A121" s="39" t="n">
        <v>46147</v>
      </c>
      <c r="B121" s="40" t="n">
        <v>29966.75</v>
      </c>
      <c r="C121" s="40" t="n">
        <v>12566.71</v>
      </c>
      <c r="D121" s="40" t="n">
        <v>60.46</v>
      </c>
      <c r="E121" s="40" t="n">
        <v>286.9</v>
      </c>
      <c r="F121" s="40" t="n">
        <v>38.25</v>
      </c>
      <c r="G121" s="40" t="n">
        <v>16.19</v>
      </c>
      <c r="H121" s="40" t="n">
        <v>21.24</v>
      </c>
      <c r="I121" s="41" t="n">
        <v>297</v>
      </c>
      <c r="J121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121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121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121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121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121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121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121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121" s="43">
        <f>(Dashboard!$C$13*tblHistory[[#This Row],[NDX S]]+Dashboard!$C$14*tblHistory[[#This Row],[SOX S]]+Dashboard!$C$15*tblHistory[[#This Row],[AIQ S]])/SUM(Dashboard!$C$13:$C$15)*100</f>
        <v/>
      </c>
      <c r="S121" s="43">
        <f>(Dashboard!$C$16*tblHistory[[#This Row],[ORCL S]]+Dashboard!$C$17*tblHistory[[#This Row],[CRWV S]])/SUM(Dashboard!$C$16:$C$17)*100</f>
        <v/>
      </c>
      <c r="T121" s="43">
        <f>(Dashboard!$C$18*tblHistory[[#This Row],[BIZD S]]+Dashboard!$C$19*tblHistory[[#This Row],[BKLN S]]+Dashboard!$C$20*tblHistory[[#This Row],[HY S]])/SUM(Dashboard!$C$18:$C$20)*100</f>
        <v/>
      </c>
      <c r="U121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121" s="43">
        <f>IFERROR(--(tblHistory[[#This Row],[Score]]&gt;=50),0)</f>
        <v/>
      </c>
      <c r="W121" s="43">
        <f>IFERROR(--AND(tblHistory[[#This Row],[Score]]&gt;=60,tblHistory[[#This Row],[BIZD S]]&gt;=0.8,tblHistory[[#This Row],[BKLN S]]&gt;=0.5),0)</f>
        <v/>
      </c>
      <c r="X121" s="43">
        <f>IFERROR(--AND(tblHistory[[#This Row],[Score]]&gt;=70,tblHistory[[#This Row],[SOX S]]&gt;=0.83,tblHistory[[#This Row],[AIQ S]]&gt;=0.8),0)</f>
        <v/>
      </c>
      <c r="Y121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121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121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121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121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122">
      <c r="A122" s="39" t="n">
        <v>46146</v>
      </c>
      <c r="B122" s="40" t="n">
        <v>29601.73</v>
      </c>
      <c r="C122" s="40" t="n">
        <v>13108.62</v>
      </c>
      <c r="D122" s="40" t="n">
        <v>59.29</v>
      </c>
      <c r="E122" s="40" t="n">
        <v>282.46</v>
      </c>
      <c r="F122" s="40" t="n">
        <v>39.82</v>
      </c>
      <c r="G122" s="40" t="n">
        <v>16.21</v>
      </c>
      <c r="H122" s="40" t="n">
        <v>21.26</v>
      </c>
      <c r="I122" s="41" t="n">
        <v>301</v>
      </c>
      <c r="J122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122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122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122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122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122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122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122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122" s="43">
        <f>(Dashboard!$C$13*tblHistory[[#This Row],[NDX S]]+Dashboard!$C$14*tblHistory[[#This Row],[SOX S]]+Dashboard!$C$15*tblHistory[[#This Row],[AIQ S]])/SUM(Dashboard!$C$13:$C$15)*100</f>
        <v/>
      </c>
      <c r="S122" s="43">
        <f>(Dashboard!$C$16*tblHistory[[#This Row],[ORCL S]]+Dashboard!$C$17*tblHistory[[#This Row],[CRWV S]])/SUM(Dashboard!$C$16:$C$17)*100</f>
        <v/>
      </c>
      <c r="T122" s="43">
        <f>(Dashboard!$C$18*tblHistory[[#This Row],[BIZD S]]+Dashboard!$C$19*tblHistory[[#This Row],[BKLN S]]+Dashboard!$C$20*tblHistory[[#This Row],[HY S]])/SUM(Dashboard!$C$18:$C$20)*100</f>
        <v/>
      </c>
      <c r="U122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122" s="43">
        <f>IFERROR(--(tblHistory[[#This Row],[Score]]&gt;=50),0)</f>
        <v/>
      </c>
      <c r="W122" s="43">
        <f>IFERROR(--AND(tblHistory[[#This Row],[Score]]&gt;=60,tblHistory[[#This Row],[BIZD S]]&gt;=0.8,tblHistory[[#This Row],[BKLN S]]&gt;=0.5),0)</f>
        <v/>
      </c>
      <c r="X122" s="43">
        <f>IFERROR(--AND(tblHistory[[#This Row],[Score]]&gt;=70,tblHistory[[#This Row],[SOX S]]&gt;=0.83,tblHistory[[#This Row],[AIQ S]]&gt;=0.8),0)</f>
        <v/>
      </c>
      <c r="Y122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122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122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122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122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123">
      <c r="A123" s="39" t="n">
        <v>46143</v>
      </c>
      <c r="B123" s="40" t="n">
        <v>29002.37</v>
      </c>
      <c r="C123" s="40" t="n">
        <v>12939.23</v>
      </c>
      <c r="D123" s="40" t="n">
        <v>58.34</v>
      </c>
      <c r="E123" s="40" t="n">
        <v>276.03</v>
      </c>
      <c r="F123" s="40" t="n">
        <v>40.35</v>
      </c>
      <c r="G123" s="40" t="n">
        <v>16.42</v>
      </c>
      <c r="H123" s="40" t="n">
        <v>21.29</v>
      </c>
      <c r="I123" s="41" t="n">
        <v>307</v>
      </c>
      <c r="J123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123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123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123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123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123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123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123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123" s="43">
        <f>(Dashboard!$C$13*tblHistory[[#This Row],[NDX S]]+Dashboard!$C$14*tblHistory[[#This Row],[SOX S]]+Dashboard!$C$15*tblHistory[[#This Row],[AIQ S]])/SUM(Dashboard!$C$13:$C$15)*100</f>
        <v/>
      </c>
      <c r="S123" s="43">
        <f>(Dashboard!$C$16*tblHistory[[#This Row],[ORCL S]]+Dashboard!$C$17*tblHistory[[#This Row],[CRWV S]])/SUM(Dashboard!$C$16:$C$17)*100</f>
        <v/>
      </c>
      <c r="T123" s="43">
        <f>(Dashboard!$C$18*tblHistory[[#This Row],[BIZD S]]+Dashboard!$C$19*tblHistory[[#This Row],[BKLN S]]+Dashboard!$C$20*tblHistory[[#This Row],[HY S]])/SUM(Dashboard!$C$18:$C$20)*100</f>
        <v/>
      </c>
      <c r="U123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123" s="43">
        <f>IFERROR(--(tblHistory[[#This Row],[Score]]&gt;=50),0)</f>
        <v/>
      </c>
      <c r="W123" s="43">
        <f>IFERROR(--AND(tblHistory[[#This Row],[Score]]&gt;=60,tblHistory[[#This Row],[BIZD S]]&gt;=0.8,tblHistory[[#This Row],[BKLN S]]&gt;=0.5),0)</f>
        <v/>
      </c>
      <c r="X123" s="43">
        <f>IFERROR(--AND(tblHistory[[#This Row],[Score]]&gt;=70,tblHistory[[#This Row],[SOX S]]&gt;=0.83,tblHistory[[#This Row],[AIQ S]]&gt;=0.8),0)</f>
        <v/>
      </c>
      <c r="Y123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123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123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123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123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124">
      <c r="A124" s="39" t="n">
        <v>46142</v>
      </c>
      <c r="B124" s="40" t="n">
        <v>28778.18</v>
      </c>
      <c r="C124" s="40" t="n">
        <v>12808.74</v>
      </c>
      <c r="D124" s="40" t="n">
        <v>59.05</v>
      </c>
      <c r="E124" s="40" t="n">
        <v>290.49</v>
      </c>
      <c r="F124" s="40" t="n">
        <v>41.05</v>
      </c>
      <c r="G124" s="40" t="n">
        <v>16.42</v>
      </c>
      <c r="H124" s="40" t="n">
        <v>21.35</v>
      </c>
      <c r="I124" s="41" t="n">
        <v>310</v>
      </c>
      <c r="J124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124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124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124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124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124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124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124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124" s="43">
        <f>(Dashboard!$C$13*tblHistory[[#This Row],[NDX S]]+Dashboard!$C$14*tblHistory[[#This Row],[SOX S]]+Dashboard!$C$15*tblHistory[[#This Row],[AIQ S]])/SUM(Dashboard!$C$13:$C$15)*100</f>
        <v/>
      </c>
      <c r="S124" s="43">
        <f>(Dashboard!$C$16*tblHistory[[#This Row],[ORCL S]]+Dashboard!$C$17*tblHistory[[#This Row],[CRWV S]])/SUM(Dashboard!$C$16:$C$17)*100</f>
        <v/>
      </c>
      <c r="T124" s="43">
        <f>(Dashboard!$C$18*tblHistory[[#This Row],[BIZD S]]+Dashboard!$C$19*tblHistory[[#This Row],[BKLN S]]+Dashboard!$C$20*tblHistory[[#This Row],[HY S]])/SUM(Dashboard!$C$18:$C$20)*100</f>
        <v/>
      </c>
      <c r="U124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124" s="43">
        <f>IFERROR(--(tblHistory[[#This Row],[Score]]&gt;=50),0)</f>
        <v/>
      </c>
      <c r="W124" s="43">
        <f>IFERROR(--AND(tblHistory[[#This Row],[Score]]&gt;=60,tblHistory[[#This Row],[BIZD S]]&gt;=0.8,tblHistory[[#This Row],[BKLN S]]&gt;=0.5),0)</f>
        <v/>
      </c>
      <c r="X124" s="43">
        <f>IFERROR(--AND(tblHistory[[#This Row],[Score]]&gt;=70,tblHistory[[#This Row],[SOX S]]&gt;=0.83,tblHistory[[#This Row],[AIQ S]]&gt;=0.8),0)</f>
        <v/>
      </c>
      <c r="Y124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124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124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124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124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125">
      <c r="A125" s="39" t="n">
        <v>46141</v>
      </c>
      <c r="B125" s="40" t="n">
        <v>28768.16</v>
      </c>
      <c r="C125" s="40" t="n">
        <v>12592.44</v>
      </c>
      <c r="D125" s="40" t="n">
        <v>57.91</v>
      </c>
      <c r="E125" s="40" t="n">
        <v>285.07</v>
      </c>
      <c r="F125" s="40" t="n">
        <v>40.97</v>
      </c>
      <c r="G125" s="40" t="n">
        <v>16.48</v>
      </c>
      <c r="H125" s="40" t="n">
        <v>21.32</v>
      </c>
      <c r="I125" s="41" t="n">
        <v>309</v>
      </c>
      <c r="J125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125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125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125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125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125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125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125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125" s="43">
        <f>(Dashboard!$C$13*tblHistory[[#This Row],[NDX S]]+Dashboard!$C$14*tblHistory[[#This Row],[SOX S]]+Dashboard!$C$15*tblHistory[[#This Row],[AIQ S]])/SUM(Dashboard!$C$13:$C$15)*100</f>
        <v/>
      </c>
      <c r="S125" s="43">
        <f>(Dashboard!$C$16*tblHistory[[#This Row],[ORCL S]]+Dashboard!$C$17*tblHistory[[#This Row],[CRWV S]])/SUM(Dashboard!$C$16:$C$17)*100</f>
        <v/>
      </c>
      <c r="T125" s="43">
        <f>(Dashboard!$C$18*tblHistory[[#This Row],[BIZD S]]+Dashboard!$C$19*tblHistory[[#This Row],[BKLN S]]+Dashboard!$C$20*tblHistory[[#This Row],[HY S]])/SUM(Dashboard!$C$18:$C$20)*100</f>
        <v/>
      </c>
      <c r="U125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125" s="43">
        <f>IFERROR(--(tblHistory[[#This Row],[Score]]&gt;=50),0)</f>
        <v/>
      </c>
      <c r="W125" s="43">
        <f>IFERROR(--AND(tblHistory[[#This Row],[Score]]&gt;=60,tblHistory[[#This Row],[BIZD S]]&gt;=0.8,tblHistory[[#This Row],[BKLN S]]&gt;=0.5),0)</f>
        <v/>
      </c>
      <c r="X125" s="43">
        <f>IFERROR(--AND(tblHistory[[#This Row],[Score]]&gt;=70,tblHistory[[#This Row],[SOX S]]&gt;=0.83,tblHistory[[#This Row],[AIQ S]]&gt;=0.8),0)</f>
        <v/>
      </c>
      <c r="Y125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125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125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125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125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126">
      <c r="A126" s="39" t="n">
        <v>46140</v>
      </c>
      <c r="B126" s="40" t="n">
        <v>28508.19</v>
      </c>
      <c r="C126" s="40" t="n">
        <v>12780.19</v>
      </c>
      <c r="D126" s="40" t="n">
        <v>57.38</v>
      </c>
      <c r="E126" s="40" t="n">
        <v>284.53</v>
      </c>
      <c r="F126" s="40" t="n">
        <v>37.12</v>
      </c>
      <c r="G126" s="40" t="n">
        <v>16.42</v>
      </c>
      <c r="H126" s="40" t="n">
        <v>21.35</v>
      </c>
      <c r="I126" s="41" t="n">
        <v>307</v>
      </c>
      <c r="J126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126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126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126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126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126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126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126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126" s="43">
        <f>(Dashboard!$C$13*tblHistory[[#This Row],[NDX S]]+Dashboard!$C$14*tblHistory[[#This Row],[SOX S]]+Dashboard!$C$15*tblHistory[[#This Row],[AIQ S]])/SUM(Dashboard!$C$13:$C$15)*100</f>
        <v/>
      </c>
      <c r="S126" s="43">
        <f>(Dashboard!$C$16*tblHistory[[#This Row],[ORCL S]]+Dashboard!$C$17*tblHistory[[#This Row],[CRWV S]])/SUM(Dashboard!$C$16:$C$17)*100</f>
        <v/>
      </c>
      <c r="T126" s="43">
        <f>(Dashboard!$C$18*tblHistory[[#This Row],[BIZD S]]+Dashboard!$C$19*tblHistory[[#This Row],[BKLN S]]+Dashboard!$C$20*tblHistory[[#This Row],[HY S]])/SUM(Dashboard!$C$18:$C$20)*100</f>
        <v/>
      </c>
      <c r="U126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126" s="43">
        <f>IFERROR(--(tblHistory[[#This Row],[Score]]&gt;=50),0)</f>
        <v/>
      </c>
      <c r="W126" s="43">
        <f>IFERROR(--AND(tblHistory[[#This Row],[Score]]&gt;=60,tblHistory[[#This Row],[BIZD S]]&gt;=0.8,tblHistory[[#This Row],[BKLN S]]&gt;=0.5),0)</f>
        <v/>
      </c>
      <c r="X126" s="43">
        <f>IFERROR(--AND(tblHistory[[#This Row],[Score]]&gt;=70,tblHistory[[#This Row],[SOX S]]&gt;=0.83,tblHistory[[#This Row],[AIQ S]]&gt;=0.8),0)</f>
        <v/>
      </c>
      <c r="Y126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126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126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126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126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127">
      <c r="A127" s="39" t="n">
        <v>46139</v>
      </c>
      <c r="B127" s="40" t="n">
        <v>27988.26</v>
      </c>
      <c r="C127" s="40" t="n">
        <v>12592.83</v>
      </c>
      <c r="D127" s="40" t="n">
        <v>56.05</v>
      </c>
      <c r="E127" s="40" t="n">
        <v>289.44</v>
      </c>
      <c r="F127" s="40" t="n">
        <v>36.14</v>
      </c>
      <c r="G127" s="40" t="n">
        <v>16.23</v>
      </c>
      <c r="H127" s="40" t="n">
        <v>21.3</v>
      </c>
      <c r="I127" s="41" t="n">
        <v>304</v>
      </c>
      <c r="J127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127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127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127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127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127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127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127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127" s="43">
        <f>(Dashboard!$C$13*tblHistory[[#This Row],[NDX S]]+Dashboard!$C$14*tblHistory[[#This Row],[SOX S]]+Dashboard!$C$15*tblHistory[[#This Row],[AIQ S]])/SUM(Dashboard!$C$13:$C$15)*100</f>
        <v/>
      </c>
      <c r="S127" s="43">
        <f>(Dashboard!$C$16*tblHistory[[#This Row],[ORCL S]]+Dashboard!$C$17*tblHistory[[#This Row],[CRWV S]])/SUM(Dashboard!$C$16:$C$17)*100</f>
        <v/>
      </c>
      <c r="T127" s="43">
        <f>(Dashboard!$C$18*tblHistory[[#This Row],[BIZD S]]+Dashboard!$C$19*tblHistory[[#This Row],[BKLN S]]+Dashboard!$C$20*tblHistory[[#This Row],[HY S]])/SUM(Dashboard!$C$18:$C$20)*100</f>
        <v/>
      </c>
      <c r="U127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127" s="43">
        <f>IFERROR(--(tblHistory[[#This Row],[Score]]&gt;=50),0)</f>
        <v/>
      </c>
      <c r="W127" s="43">
        <f>IFERROR(--AND(tblHistory[[#This Row],[Score]]&gt;=60,tblHistory[[#This Row],[BIZD S]]&gt;=0.8,tblHistory[[#This Row],[BKLN S]]&gt;=0.5),0)</f>
        <v/>
      </c>
      <c r="X127" s="43">
        <f>IFERROR(--AND(tblHistory[[#This Row],[Score]]&gt;=70,tblHistory[[#This Row],[SOX S]]&gt;=0.83,tblHistory[[#This Row],[AIQ S]]&gt;=0.8),0)</f>
        <v/>
      </c>
      <c r="Y127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127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127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127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127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128">
      <c r="A128" s="39" t="n">
        <v>46136</v>
      </c>
      <c r="B128" s="40" t="n">
        <v>27912.21</v>
      </c>
      <c r="C128" s="40" t="n">
        <v>12304.42</v>
      </c>
      <c r="D128" s="40" t="n">
        <v>56.64</v>
      </c>
      <c r="E128" s="40" t="n">
        <v>288.33</v>
      </c>
      <c r="F128" s="40" t="n">
        <v>34.27</v>
      </c>
      <c r="G128" s="40" t="n">
        <v>16.1</v>
      </c>
      <c r="H128" s="40" t="n">
        <v>21.38</v>
      </c>
      <c r="I128" s="41" t="n">
        <v>312</v>
      </c>
      <c r="J128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128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128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128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128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128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128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128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128" s="43">
        <f>(Dashboard!$C$13*tblHistory[[#This Row],[NDX S]]+Dashboard!$C$14*tblHistory[[#This Row],[SOX S]]+Dashboard!$C$15*tblHistory[[#This Row],[AIQ S]])/SUM(Dashboard!$C$13:$C$15)*100</f>
        <v/>
      </c>
      <c r="S128" s="43">
        <f>(Dashboard!$C$16*tblHistory[[#This Row],[ORCL S]]+Dashboard!$C$17*tblHistory[[#This Row],[CRWV S]])/SUM(Dashboard!$C$16:$C$17)*100</f>
        <v/>
      </c>
      <c r="T128" s="43">
        <f>(Dashboard!$C$18*tblHistory[[#This Row],[BIZD S]]+Dashboard!$C$19*tblHistory[[#This Row],[BKLN S]]+Dashboard!$C$20*tblHistory[[#This Row],[HY S]])/SUM(Dashboard!$C$18:$C$20)*100</f>
        <v/>
      </c>
      <c r="U128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128" s="43">
        <f>IFERROR(--(tblHistory[[#This Row],[Score]]&gt;=50),0)</f>
        <v/>
      </c>
      <c r="W128" s="43">
        <f>IFERROR(--AND(tblHistory[[#This Row],[Score]]&gt;=60,tblHistory[[#This Row],[BIZD S]]&gt;=0.8,tblHistory[[#This Row],[BKLN S]]&gt;=0.5),0)</f>
        <v/>
      </c>
      <c r="X128" s="43">
        <f>IFERROR(--AND(tblHistory[[#This Row],[Score]]&gt;=70,tblHistory[[#This Row],[SOX S]]&gt;=0.83,tblHistory[[#This Row],[AIQ S]]&gt;=0.8),0)</f>
        <v/>
      </c>
      <c r="Y128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128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128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128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128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129">
      <c r="A129" s="39" t="n">
        <v>46135</v>
      </c>
      <c r="B129" s="40" t="n">
        <v>27729.64</v>
      </c>
      <c r="C129" s="40" t="n">
        <v>12698.47</v>
      </c>
      <c r="D129" s="40" t="n">
        <v>55.32</v>
      </c>
      <c r="E129" s="40" t="n">
        <v>279.85</v>
      </c>
      <c r="F129" s="40" t="n">
        <v>32.17</v>
      </c>
      <c r="G129" s="40" t="n">
        <v>15.96</v>
      </c>
      <c r="H129" s="40" t="n">
        <v>21.33</v>
      </c>
      <c r="I129" s="41" t="n">
        <v>309</v>
      </c>
      <c r="J129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129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129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129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129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129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129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129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129" s="43">
        <f>(Dashboard!$C$13*tblHistory[[#This Row],[NDX S]]+Dashboard!$C$14*tblHistory[[#This Row],[SOX S]]+Dashboard!$C$15*tblHistory[[#This Row],[AIQ S]])/SUM(Dashboard!$C$13:$C$15)*100</f>
        <v/>
      </c>
      <c r="S129" s="43">
        <f>(Dashboard!$C$16*tblHistory[[#This Row],[ORCL S]]+Dashboard!$C$17*tblHistory[[#This Row],[CRWV S]])/SUM(Dashboard!$C$16:$C$17)*100</f>
        <v/>
      </c>
      <c r="T129" s="43">
        <f>(Dashboard!$C$18*tblHistory[[#This Row],[BIZD S]]+Dashboard!$C$19*tblHistory[[#This Row],[BKLN S]]+Dashboard!$C$20*tblHistory[[#This Row],[HY S]])/SUM(Dashboard!$C$18:$C$20)*100</f>
        <v/>
      </c>
      <c r="U129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129" s="43">
        <f>IFERROR(--(tblHistory[[#This Row],[Score]]&gt;=50),0)</f>
        <v/>
      </c>
      <c r="W129" s="43">
        <f>IFERROR(--AND(tblHistory[[#This Row],[Score]]&gt;=60,tblHistory[[#This Row],[BIZD S]]&gt;=0.8,tblHistory[[#This Row],[BKLN S]]&gt;=0.5),0)</f>
        <v/>
      </c>
      <c r="X129" s="43">
        <f>IFERROR(--AND(tblHistory[[#This Row],[Score]]&gt;=70,tblHistory[[#This Row],[SOX S]]&gt;=0.83,tblHistory[[#This Row],[AIQ S]]&gt;=0.8),0)</f>
        <v/>
      </c>
      <c r="Y129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129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129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129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129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130">
      <c r="A130" s="39" t="n">
        <v>46134</v>
      </c>
      <c r="B130" s="40" t="n">
        <v>27540.32</v>
      </c>
      <c r="C130" s="40" t="n">
        <v>13029.45</v>
      </c>
      <c r="D130" s="40" t="n">
        <v>55.86</v>
      </c>
      <c r="E130" s="40" t="n">
        <v>290.38</v>
      </c>
      <c r="F130" s="40" t="n">
        <v>31.79</v>
      </c>
      <c r="G130" s="40" t="n">
        <v>15.92</v>
      </c>
      <c r="H130" s="40" t="n">
        <v>21.35</v>
      </c>
      <c r="I130" s="41" t="n">
        <v>307</v>
      </c>
      <c r="J130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130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130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130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130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130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130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130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130" s="43">
        <f>(Dashboard!$C$13*tblHistory[[#This Row],[NDX S]]+Dashboard!$C$14*tblHistory[[#This Row],[SOX S]]+Dashboard!$C$15*tblHistory[[#This Row],[AIQ S]])/SUM(Dashboard!$C$13:$C$15)*100</f>
        <v/>
      </c>
      <c r="S130" s="43">
        <f>(Dashboard!$C$16*tblHistory[[#This Row],[ORCL S]]+Dashboard!$C$17*tblHistory[[#This Row],[CRWV S]])/SUM(Dashboard!$C$16:$C$17)*100</f>
        <v/>
      </c>
      <c r="T130" s="43">
        <f>(Dashboard!$C$18*tblHistory[[#This Row],[BIZD S]]+Dashboard!$C$19*tblHistory[[#This Row],[BKLN S]]+Dashboard!$C$20*tblHistory[[#This Row],[HY S]])/SUM(Dashboard!$C$18:$C$20)*100</f>
        <v/>
      </c>
      <c r="U130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130" s="43">
        <f>IFERROR(--(tblHistory[[#This Row],[Score]]&gt;=50),0)</f>
        <v/>
      </c>
      <c r="W130" s="43">
        <f>IFERROR(--AND(tblHistory[[#This Row],[Score]]&gt;=60,tblHistory[[#This Row],[BIZD S]]&gt;=0.8,tblHistory[[#This Row],[BKLN S]]&gt;=0.5),0)</f>
        <v/>
      </c>
      <c r="X130" s="43">
        <f>IFERROR(--AND(tblHistory[[#This Row],[Score]]&gt;=70,tblHistory[[#This Row],[SOX S]]&gt;=0.83,tblHistory[[#This Row],[AIQ S]]&gt;=0.8),0)</f>
        <v/>
      </c>
      <c r="Y130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130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130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130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130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131">
      <c r="A131" s="39" t="n">
        <v>46133</v>
      </c>
      <c r="B131" s="40" t="n">
        <v>27777.08</v>
      </c>
      <c r="C131" s="40" t="n">
        <v>12991.2</v>
      </c>
      <c r="D131" s="40" t="n">
        <v>56.2</v>
      </c>
      <c r="E131" s="40" t="n">
        <v>296.2</v>
      </c>
      <c r="F131" s="40" t="n">
        <v>30.72</v>
      </c>
      <c r="G131" s="40" t="n">
        <v>15.58</v>
      </c>
      <c r="H131" s="40" t="n">
        <v>21.35</v>
      </c>
      <c r="I131" s="41" t="n">
        <v>308</v>
      </c>
      <c r="J131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131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131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131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131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131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131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131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131" s="43">
        <f>(Dashboard!$C$13*tblHistory[[#This Row],[NDX S]]+Dashboard!$C$14*tblHistory[[#This Row],[SOX S]]+Dashboard!$C$15*tblHistory[[#This Row],[AIQ S]])/SUM(Dashboard!$C$13:$C$15)*100</f>
        <v/>
      </c>
      <c r="S131" s="43">
        <f>(Dashboard!$C$16*tblHistory[[#This Row],[ORCL S]]+Dashboard!$C$17*tblHistory[[#This Row],[CRWV S]])/SUM(Dashboard!$C$16:$C$17)*100</f>
        <v/>
      </c>
      <c r="T131" s="43">
        <f>(Dashboard!$C$18*tblHistory[[#This Row],[BIZD S]]+Dashboard!$C$19*tblHistory[[#This Row],[BKLN S]]+Dashboard!$C$20*tblHistory[[#This Row],[HY S]])/SUM(Dashboard!$C$18:$C$20)*100</f>
        <v/>
      </c>
      <c r="U131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131" s="43">
        <f>IFERROR(--(tblHistory[[#This Row],[Score]]&gt;=50),0)</f>
        <v/>
      </c>
      <c r="W131" s="43">
        <f>IFERROR(--AND(tblHistory[[#This Row],[Score]]&gt;=60,tblHistory[[#This Row],[BIZD S]]&gt;=0.8,tblHistory[[#This Row],[BKLN S]]&gt;=0.5),0)</f>
        <v/>
      </c>
      <c r="X131" s="43">
        <f>IFERROR(--AND(tblHistory[[#This Row],[Score]]&gt;=70,tblHistory[[#This Row],[SOX S]]&gt;=0.83,tblHistory[[#This Row],[AIQ S]]&gt;=0.8),0)</f>
        <v/>
      </c>
      <c r="Y131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131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131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131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131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132">
      <c r="A132" s="39" t="n">
        <v>46132</v>
      </c>
      <c r="B132" s="40" t="n">
        <v>28220.38</v>
      </c>
      <c r="C132" s="40" t="n">
        <v>12674.78</v>
      </c>
      <c r="D132" s="40" t="n">
        <v>55.72</v>
      </c>
      <c r="E132" s="40" t="n">
        <v>292.13</v>
      </c>
      <c r="F132" s="40" t="n">
        <v>32.2</v>
      </c>
      <c r="G132" s="40" t="n">
        <v>15.69</v>
      </c>
      <c r="H132" s="40" t="n">
        <v>21.36</v>
      </c>
      <c r="I132" s="41" t="n">
        <v>306</v>
      </c>
      <c r="J132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132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132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132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132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132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132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132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132" s="43">
        <f>(Dashboard!$C$13*tblHistory[[#This Row],[NDX S]]+Dashboard!$C$14*tblHistory[[#This Row],[SOX S]]+Dashboard!$C$15*tblHistory[[#This Row],[AIQ S]])/SUM(Dashboard!$C$13:$C$15)*100</f>
        <v/>
      </c>
      <c r="S132" s="43">
        <f>(Dashboard!$C$16*tblHistory[[#This Row],[ORCL S]]+Dashboard!$C$17*tblHistory[[#This Row],[CRWV S]])/SUM(Dashboard!$C$16:$C$17)*100</f>
        <v/>
      </c>
      <c r="T132" s="43">
        <f>(Dashboard!$C$18*tblHistory[[#This Row],[BIZD S]]+Dashboard!$C$19*tblHistory[[#This Row],[BKLN S]]+Dashboard!$C$20*tblHistory[[#This Row],[HY S]])/SUM(Dashboard!$C$18:$C$20)*100</f>
        <v/>
      </c>
      <c r="U132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132" s="43">
        <f>IFERROR(--(tblHistory[[#This Row],[Score]]&gt;=50),0)</f>
        <v/>
      </c>
      <c r="W132" s="43">
        <f>IFERROR(--AND(tblHistory[[#This Row],[Score]]&gt;=60,tblHistory[[#This Row],[BIZD S]]&gt;=0.8,tblHistory[[#This Row],[BKLN S]]&gt;=0.5),0)</f>
        <v/>
      </c>
      <c r="X132" s="43">
        <f>IFERROR(--AND(tblHistory[[#This Row],[Score]]&gt;=70,tblHistory[[#This Row],[SOX S]]&gt;=0.83,tblHistory[[#This Row],[AIQ S]]&gt;=0.8),0)</f>
        <v/>
      </c>
      <c r="Y132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132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132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132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132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133">
      <c r="A133" s="39" t="n">
        <v>46129</v>
      </c>
      <c r="B133" s="40" t="n">
        <v>28332.97</v>
      </c>
      <c r="C133" s="40" t="n">
        <v>12631.1</v>
      </c>
      <c r="D133" s="40" t="n">
        <v>56.62</v>
      </c>
      <c r="E133" s="40" t="n">
        <v>288</v>
      </c>
      <c r="F133" s="40" t="n">
        <v>30.95</v>
      </c>
      <c r="G133" s="40" t="n">
        <v>15.84</v>
      </c>
      <c r="H133" s="40" t="n">
        <v>21.3</v>
      </c>
      <c r="I133" s="41" t="n">
        <v>302</v>
      </c>
      <c r="J133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133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133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133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133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133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133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133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133" s="43">
        <f>(Dashboard!$C$13*tblHistory[[#This Row],[NDX S]]+Dashboard!$C$14*tblHistory[[#This Row],[SOX S]]+Dashboard!$C$15*tblHistory[[#This Row],[AIQ S]])/SUM(Dashboard!$C$13:$C$15)*100</f>
        <v/>
      </c>
      <c r="S133" s="43">
        <f>(Dashboard!$C$16*tblHistory[[#This Row],[ORCL S]]+Dashboard!$C$17*tblHistory[[#This Row],[CRWV S]])/SUM(Dashboard!$C$16:$C$17)*100</f>
        <v/>
      </c>
      <c r="T133" s="43">
        <f>(Dashboard!$C$18*tblHistory[[#This Row],[BIZD S]]+Dashboard!$C$19*tblHistory[[#This Row],[BKLN S]]+Dashboard!$C$20*tblHistory[[#This Row],[HY S]])/SUM(Dashboard!$C$18:$C$20)*100</f>
        <v/>
      </c>
      <c r="U133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133" s="43">
        <f>IFERROR(--(tblHistory[[#This Row],[Score]]&gt;=50),0)</f>
        <v/>
      </c>
      <c r="W133" s="43">
        <f>IFERROR(--AND(tblHistory[[#This Row],[Score]]&gt;=60,tblHistory[[#This Row],[BIZD S]]&gt;=0.8,tblHistory[[#This Row],[BKLN S]]&gt;=0.5),0)</f>
        <v/>
      </c>
      <c r="X133" s="43">
        <f>IFERROR(--AND(tblHistory[[#This Row],[Score]]&gt;=70,tblHistory[[#This Row],[SOX S]]&gt;=0.83,tblHistory[[#This Row],[AIQ S]]&gt;=0.8),0)</f>
        <v/>
      </c>
      <c r="Y133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133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133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133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133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134">
      <c r="A134" s="39" t="n">
        <v>46128</v>
      </c>
      <c r="B134" s="40" t="n">
        <v>27784.79</v>
      </c>
      <c r="C134" s="40" t="n">
        <v>12761.59</v>
      </c>
      <c r="D134" s="40" t="n">
        <v>55.8</v>
      </c>
      <c r="E134" s="40" t="n">
        <v>292.41</v>
      </c>
      <c r="F134" s="40" t="n">
        <v>30.49</v>
      </c>
      <c r="G134" s="40" t="n">
        <v>15.83</v>
      </c>
      <c r="H134" s="40" t="n">
        <v>21.29</v>
      </c>
      <c r="I134" s="41" t="n"/>
      <c r="J134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134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134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134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134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134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134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134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134" s="43">
        <f>(Dashboard!$C$13*tblHistory[[#This Row],[NDX S]]+Dashboard!$C$14*tblHistory[[#This Row],[SOX S]]+Dashboard!$C$15*tblHistory[[#This Row],[AIQ S]])/SUM(Dashboard!$C$13:$C$15)*100</f>
        <v/>
      </c>
      <c r="S134" s="43">
        <f>(Dashboard!$C$16*tblHistory[[#This Row],[ORCL S]]+Dashboard!$C$17*tblHistory[[#This Row],[CRWV S]])/SUM(Dashboard!$C$16:$C$17)*100</f>
        <v/>
      </c>
      <c r="T134" s="43">
        <f>(Dashboard!$C$18*tblHistory[[#This Row],[BIZD S]]+Dashboard!$C$19*tblHistory[[#This Row],[BKLN S]]+Dashboard!$C$20*tblHistory[[#This Row],[HY S]])/SUM(Dashboard!$C$18:$C$20)*100</f>
        <v/>
      </c>
      <c r="U134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134" s="43">
        <f>IFERROR(--(tblHistory[[#This Row],[Score]]&gt;=50),0)</f>
        <v/>
      </c>
      <c r="W134" s="43">
        <f>IFERROR(--AND(tblHistory[[#This Row],[Score]]&gt;=60,tblHistory[[#This Row],[BIZD S]]&gt;=0.8,tblHistory[[#This Row],[BKLN S]]&gt;=0.5),0)</f>
        <v/>
      </c>
      <c r="X134" s="43">
        <f>IFERROR(--AND(tblHistory[[#This Row],[Score]]&gt;=70,tblHistory[[#This Row],[SOX S]]&gt;=0.83,tblHistory[[#This Row],[AIQ S]]&gt;=0.8),0)</f>
        <v/>
      </c>
      <c r="Y134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134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134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134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134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135">
      <c r="A135" s="39" t="n">
        <v>46127</v>
      </c>
      <c r="B135" s="40" t="n">
        <v>28116.68</v>
      </c>
      <c r="C135" s="40" t="n">
        <v>12476.83</v>
      </c>
      <c r="D135" s="40" t="n">
        <v>56.03</v>
      </c>
      <c r="E135" s="40" t="n">
        <v>304.65</v>
      </c>
      <c r="F135" s="40" t="n">
        <v>30.52</v>
      </c>
      <c r="G135" s="40" t="n">
        <v>15.76</v>
      </c>
      <c r="H135" s="40" t="n">
        <v>21.3</v>
      </c>
      <c r="I135" s="41" t="n">
        <v>301</v>
      </c>
      <c r="J135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135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135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135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135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135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135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135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135" s="43">
        <f>(Dashboard!$C$13*tblHistory[[#This Row],[NDX S]]+Dashboard!$C$14*tblHistory[[#This Row],[SOX S]]+Dashboard!$C$15*tblHistory[[#This Row],[AIQ S]])/SUM(Dashboard!$C$13:$C$15)*100</f>
        <v/>
      </c>
      <c r="S135" s="43">
        <f>(Dashboard!$C$16*tblHistory[[#This Row],[ORCL S]]+Dashboard!$C$17*tblHistory[[#This Row],[CRWV S]])/SUM(Dashboard!$C$16:$C$17)*100</f>
        <v/>
      </c>
      <c r="T135" s="43">
        <f>(Dashboard!$C$18*tblHistory[[#This Row],[BIZD S]]+Dashboard!$C$19*tblHistory[[#This Row],[BKLN S]]+Dashboard!$C$20*tblHistory[[#This Row],[HY S]])/SUM(Dashboard!$C$18:$C$20)*100</f>
        <v/>
      </c>
      <c r="U135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135" s="43">
        <f>IFERROR(--(tblHistory[[#This Row],[Score]]&gt;=50),0)</f>
        <v/>
      </c>
      <c r="W135" s="43">
        <f>IFERROR(--AND(tblHistory[[#This Row],[Score]]&gt;=60,tblHistory[[#This Row],[BIZD S]]&gt;=0.8,tblHistory[[#This Row],[BKLN S]]&gt;=0.5),0)</f>
        <v/>
      </c>
      <c r="X135" s="43">
        <f>IFERROR(--AND(tblHistory[[#This Row],[Score]]&gt;=70,tblHistory[[#This Row],[SOX S]]&gt;=0.83,tblHistory[[#This Row],[AIQ S]]&gt;=0.8),0)</f>
        <v/>
      </c>
      <c r="Y135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135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135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135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135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136">
      <c r="A136" s="39" t="n">
        <v>46126</v>
      </c>
      <c r="B136" s="40" t="n">
        <v>29000.27</v>
      </c>
      <c r="C136" s="40" t="n">
        <v>12882.68</v>
      </c>
      <c r="D136" s="40" t="n">
        <v>55.46</v>
      </c>
      <c r="E136" s="40" t="n">
        <v>297.89</v>
      </c>
      <c r="F136" s="40" t="n">
        <v>32.58</v>
      </c>
      <c r="G136" s="40" t="n">
        <v>15.75</v>
      </c>
      <c r="H136" s="40" t="n">
        <v>21.26</v>
      </c>
      <c r="I136" s="41" t="n">
        <v>297</v>
      </c>
      <c r="J136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136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136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136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136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136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136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136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136" s="43">
        <f>(Dashboard!$C$13*tblHistory[[#This Row],[NDX S]]+Dashboard!$C$14*tblHistory[[#This Row],[SOX S]]+Dashboard!$C$15*tblHistory[[#This Row],[AIQ S]])/SUM(Dashboard!$C$13:$C$15)*100</f>
        <v/>
      </c>
      <c r="S136" s="43">
        <f>(Dashboard!$C$16*tblHistory[[#This Row],[ORCL S]]+Dashboard!$C$17*tblHistory[[#This Row],[CRWV S]])/SUM(Dashboard!$C$16:$C$17)*100</f>
        <v/>
      </c>
      <c r="T136" s="43">
        <f>(Dashboard!$C$18*tblHistory[[#This Row],[BIZD S]]+Dashboard!$C$19*tblHistory[[#This Row],[BKLN S]]+Dashboard!$C$20*tblHistory[[#This Row],[HY S]])/SUM(Dashboard!$C$18:$C$20)*100</f>
        <v/>
      </c>
      <c r="U136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136" s="43">
        <f>IFERROR(--(tblHistory[[#This Row],[Score]]&gt;=50),0)</f>
        <v/>
      </c>
      <c r="W136" s="43">
        <f>IFERROR(--AND(tblHistory[[#This Row],[Score]]&gt;=60,tblHistory[[#This Row],[BIZD S]]&gt;=0.8,tblHistory[[#This Row],[BKLN S]]&gt;=0.5),0)</f>
        <v/>
      </c>
      <c r="X136" s="43">
        <f>IFERROR(--AND(tblHistory[[#This Row],[Score]]&gt;=70,tblHistory[[#This Row],[SOX S]]&gt;=0.83,tblHistory[[#This Row],[AIQ S]]&gt;=0.8),0)</f>
        <v/>
      </c>
      <c r="Y136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136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136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136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136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137">
      <c r="A137" s="39" t="n">
        <v>46125</v>
      </c>
      <c r="B137" s="40" t="n">
        <v>29362.38</v>
      </c>
      <c r="C137" s="40" t="n">
        <v>12666.43</v>
      </c>
      <c r="D137" s="40" t="n">
        <v>55.53</v>
      </c>
      <c r="E137" s="40" t="n">
        <v>301.24</v>
      </c>
      <c r="F137" s="40" t="n">
        <v>31.26</v>
      </c>
      <c r="G137" s="40" t="n">
        <v>15.63</v>
      </c>
      <c r="H137" s="40" t="n">
        <v>21.21</v>
      </c>
      <c r="I137" s="41" t="n">
        <v>299</v>
      </c>
      <c r="J137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137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137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137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137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137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137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137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137" s="43">
        <f>(Dashboard!$C$13*tblHistory[[#This Row],[NDX S]]+Dashboard!$C$14*tblHistory[[#This Row],[SOX S]]+Dashboard!$C$15*tblHistory[[#This Row],[AIQ S]])/SUM(Dashboard!$C$13:$C$15)*100</f>
        <v/>
      </c>
      <c r="S137" s="43">
        <f>(Dashboard!$C$16*tblHistory[[#This Row],[ORCL S]]+Dashboard!$C$17*tblHistory[[#This Row],[CRWV S]])/SUM(Dashboard!$C$16:$C$17)*100</f>
        <v/>
      </c>
      <c r="T137" s="43">
        <f>(Dashboard!$C$18*tblHistory[[#This Row],[BIZD S]]+Dashboard!$C$19*tblHistory[[#This Row],[BKLN S]]+Dashboard!$C$20*tblHistory[[#This Row],[HY S]])/SUM(Dashboard!$C$18:$C$20)*100</f>
        <v/>
      </c>
      <c r="U137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137" s="43">
        <f>IFERROR(--(tblHistory[[#This Row],[Score]]&gt;=50),0)</f>
        <v/>
      </c>
      <c r="W137" s="43">
        <f>IFERROR(--AND(tblHistory[[#This Row],[Score]]&gt;=60,tblHistory[[#This Row],[BIZD S]]&gt;=0.8,tblHistory[[#This Row],[BKLN S]]&gt;=0.5),0)</f>
        <v/>
      </c>
      <c r="X137" s="43">
        <f>IFERROR(--AND(tblHistory[[#This Row],[Score]]&gt;=70,tblHistory[[#This Row],[SOX S]]&gt;=0.83,tblHistory[[#This Row],[AIQ S]]&gt;=0.8),0)</f>
        <v/>
      </c>
      <c r="Y137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137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137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137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137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138">
      <c r="A138" s="39" t="n">
        <v>46122</v>
      </c>
      <c r="B138" s="40" t="n">
        <v>29085.39</v>
      </c>
      <c r="C138" s="40" t="n">
        <v>13059.28</v>
      </c>
      <c r="D138" s="40" t="n">
        <v>55.48</v>
      </c>
      <c r="E138" s="40" t="n">
        <v>301.08</v>
      </c>
      <c r="F138" s="40" t="n">
        <v>31.15</v>
      </c>
      <c r="G138" s="40" t="n">
        <v>15.64</v>
      </c>
      <c r="H138" s="40" t="n">
        <v>21.27</v>
      </c>
      <c r="I138" s="41" t="n"/>
      <c r="J138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138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138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138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138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138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138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138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138" s="43">
        <f>(Dashboard!$C$13*tblHistory[[#This Row],[NDX S]]+Dashboard!$C$14*tblHistory[[#This Row],[SOX S]]+Dashboard!$C$15*tblHistory[[#This Row],[AIQ S]])/SUM(Dashboard!$C$13:$C$15)*100</f>
        <v/>
      </c>
      <c r="S138" s="43">
        <f>(Dashboard!$C$16*tblHistory[[#This Row],[ORCL S]]+Dashboard!$C$17*tblHistory[[#This Row],[CRWV S]])/SUM(Dashboard!$C$16:$C$17)*100</f>
        <v/>
      </c>
      <c r="T138" s="43">
        <f>(Dashboard!$C$18*tblHistory[[#This Row],[BIZD S]]+Dashboard!$C$19*tblHistory[[#This Row],[BKLN S]]+Dashboard!$C$20*tblHistory[[#This Row],[HY S]])/SUM(Dashboard!$C$18:$C$20)*100</f>
        <v/>
      </c>
      <c r="U138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138" s="43">
        <f>IFERROR(--(tblHistory[[#This Row],[Score]]&gt;=50),0)</f>
        <v/>
      </c>
      <c r="W138" s="43">
        <f>IFERROR(--AND(tblHistory[[#This Row],[Score]]&gt;=60,tblHistory[[#This Row],[BIZD S]]&gt;=0.8,tblHistory[[#This Row],[BKLN S]]&gt;=0.5),0)</f>
        <v/>
      </c>
      <c r="X138" s="43">
        <f>IFERROR(--AND(tblHistory[[#This Row],[Score]]&gt;=70,tblHistory[[#This Row],[SOX S]]&gt;=0.83,tblHistory[[#This Row],[AIQ S]]&gt;=0.8),0)</f>
        <v/>
      </c>
      <c r="Y138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138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138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138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138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139">
      <c r="A139" s="39" t="n">
        <v>46121</v>
      </c>
      <c r="B139" s="40" t="n">
        <v>29394.34</v>
      </c>
      <c r="C139" s="40" t="n">
        <v>13030.45</v>
      </c>
      <c r="D139" s="40" t="n">
        <v>54.31</v>
      </c>
      <c r="E139" s="40" t="n">
        <v>294.63</v>
      </c>
      <c r="F139" s="40" t="n">
        <v>31.12</v>
      </c>
      <c r="G139" s="40" t="n">
        <v>15.55</v>
      </c>
      <c r="H139" s="40" t="n">
        <v>21.23</v>
      </c>
      <c r="I139" s="41" t="n">
        <v>318</v>
      </c>
      <c r="J139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139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139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139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139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139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139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139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139" s="43">
        <f>(Dashboard!$C$13*tblHistory[[#This Row],[NDX S]]+Dashboard!$C$14*tblHistory[[#This Row],[SOX S]]+Dashboard!$C$15*tblHistory[[#This Row],[AIQ S]])/SUM(Dashboard!$C$13:$C$15)*100</f>
        <v/>
      </c>
      <c r="S139" s="43">
        <f>(Dashboard!$C$16*tblHistory[[#This Row],[ORCL S]]+Dashboard!$C$17*tblHistory[[#This Row],[CRWV S]])/SUM(Dashboard!$C$16:$C$17)*100</f>
        <v/>
      </c>
      <c r="T139" s="43">
        <f>(Dashboard!$C$18*tblHistory[[#This Row],[BIZD S]]+Dashboard!$C$19*tblHistory[[#This Row],[BKLN S]]+Dashboard!$C$20*tblHistory[[#This Row],[HY S]])/SUM(Dashboard!$C$18:$C$20)*100</f>
        <v/>
      </c>
      <c r="U139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139" s="43">
        <f>IFERROR(--(tblHistory[[#This Row],[Score]]&gt;=50),0)</f>
        <v/>
      </c>
      <c r="W139" s="43">
        <f>IFERROR(--AND(tblHistory[[#This Row],[Score]]&gt;=60,tblHistory[[#This Row],[BIZD S]]&gt;=0.8,tblHistory[[#This Row],[BKLN S]]&gt;=0.5),0)</f>
        <v/>
      </c>
      <c r="X139" s="43">
        <f>IFERROR(--AND(tblHistory[[#This Row],[Score]]&gt;=70,tblHistory[[#This Row],[SOX S]]&gt;=0.83,tblHistory[[#This Row],[AIQ S]]&gt;=0.8),0)</f>
        <v/>
      </c>
      <c r="Y139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139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139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139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139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140">
      <c r="A140" s="39" t="n">
        <v>46120</v>
      </c>
      <c r="B140" s="40" t="n">
        <v>29355.71</v>
      </c>
      <c r="C140" s="40" t="n">
        <v>12499.62</v>
      </c>
      <c r="D140" s="40" t="n">
        <v>54.07</v>
      </c>
      <c r="E140" s="40" t="n">
        <v>289.81</v>
      </c>
      <c r="F140" s="40" t="n">
        <v>30.23</v>
      </c>
      <c r="G140" s="40" t="n">
        <v>15.54</v>
      </c>
      <c r="H140" s="40" t="n">
        <v>21.17</v>
      </c>
      <c r="I140" s="41" t="n">
        <v>315</v>
      </c>
      <c r="J140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140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140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140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140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140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140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140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140" s="43">
        <f>(Dashboard!$C$13*tblHistory[[#This Row],[NDX S]]+Dashboard!$C$14*tblHistory[[#This Row],[SOX S]]+Dashboard!$C$15*tblHistory[[#This Row],[AIQ S]])/SUM(Dashboard!$C$13:$C$15)*100</f>
        <v/>
      </c>
      <c r="S140" s="43">
        <f>(Dashboard!$C$16*tblHistory[[#This Row],[ORCL S]]+Dashboard!$C$17*tblHistory[[#This Row],[CRWV S]])/SUM(Dashboard!$C$16:$C$17)*100</f>
        <v/>
      </c>
      <c r="T140" s="43">
        <f>(Dashboard!$C$18*tblHistory[[#This Row],[BIZD S]]+Dashboard!$C$19*tblHistory[[#This Row],[BKLN S]]+Dashboard!$C$20*tblHistory[[#This Row],[HY S]])/SUM(Dashboard!$C$18:$C$20)*100</f>
        <v/>
      </c>
      <c r="U140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140" s="43">
        <f>IFERROR(--(tblHistory[[#This Row],[Score]]&gt;=50),0)</f>
        <v/>
      </c>
      <c r="W140" s="43">
        <f>IFERROR(--AND(tblHistory[[#This Row],[Score]]&gt;=60,tblHistory[[#This Row],[BIZD S]]&gt;=0.8,tblHistory[[#This Row],[BKLN S]]&gt;=0.5),0)</f>
        <v/>
      </c>
      <c r="X140" s="43">
        <f>IFERROR(--AND(tblHistory[[#This Row],[Score]]&gt;=70,tblHistory[[#This Row],[SOX S]]&gt;=0.83,tblHistory[[#This Row],[AIQ S]]&gt;=0.8),0)</f>
        <v/>
      </c>
      <c r="Y140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140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140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140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140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141">
      <c r="A141" s="39" t="n">
        <v>46119</v>
      </c>
      <c r="B141" s="40" t="n">
        <v>30013.31</v>
      </c>
      <c r="C141" s="40" t="n">
        <v>12650.53</v>
      </c>
      <c r="D141" s="40" t="n">
        <v>54.44</v>
      </c>
      <c r="E141" s="40" t="n">
        <v>295.93</v>
      </c>
      <c r="F141" s="40" t="n">
        <v>32.12</v>
      </c>
      <c r="G141" s="40" t="n">
        <v>15.59</v>
      </c>
      <c r="H141" s="40" t="n">
        <v>21.16</v>
      </c>
      <c r="I141" s="41" t="n">
        <v>304</v>
      </c>
      <c r="J141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141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141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141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141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141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141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141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141" s="43">
        <f>(Dashboard!$C$13*tblHistory[[#This Row],[NDX S]]+Dashboard!$C$14*tblHistory[[#This Row],[SOX S]]+Dashboard!$C$15*tblHistory[[#This Row],[AIQ S]])/SUM(Dashboard!$C$13:$C$15)*100</f>
        <v/>
      </c>
      <c r="S141" s="43">
        <f>(Dashboard!$C$16*tblHistory[[#This Row],[ORCL S]]+Dashboard!$C$17*tblHistory[[#This Row],[CRWV S]])/SUM(Dashboard!$C$16:$C$17)*100</f>
        <v/>
      </c>
      <c r="T141" s="43">
        <f>(Dashboard!$C$18*tblHistory[[#This Row],[BIZD S]]+Dashboard!$C$19*tblHistory[[#This Row],[BKLN S]]+Dashboard!$C$20*tblHistory[[#This Row],[HY S]])/SUM(Dashboard!$C$18:$C$20)*100</f>
        <v/>
      </c>
      <c r="U141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141" s="43">
        <f>IFERROR(--(tblHistory[[#This Row],[Score]]&gt;=50),0)</f>
        <v/>
      </c>
      <c r="W141" s="43">
        <f>IFERROR(--AND(tblHistory[[#This Row],[Score]]&gt;=60,tblHistory[[#This Row],[BIZD S]]&gt;=0.8,tblHistory[[#This Row],[BKLN S]]&gt;=0.5),0)</f>
        <v/>
      </c>
      <c r="X141" s="43">
        <f>IFERROR(--AND(tblHistory[[#This Row],[Score]]&gt;=70,tblHistory[[#This Row],[SOX S]]&gt;=0.83,tblHistory[[#This Row],[AIQ S]]&gt;=0.8),0)</f>
        <v/>
      </c>
      <c r="Y141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141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141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141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141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142">
      <c r="A142" s="39" t="n">
        <v>46118</v>
      </c>
      <c r="B142" s="40" t="n">
        <v>30344.93</v>
      </c>
      <c r="C142" s="40" t="n">
        <v>12664</v>
      </c>
      <c r="D142" s="40" t="n">
        <v>54.03</v>
      </c>
      <c r="E142" s="40" t="n">
        <v>305.7</v>
      </c>
      <c r="F142" s="40" t="n">
        <v>33.15</v>
      </c>
      <c r="G142" s="40" t="n">
        <v>15.44</v>
      </c>
      <c r="H142" s="40" t="n">
        <v>21.21</v>
      </c>
      <c r="I142" s="41" t="n">
        <v>306</v>
      </c>
      <c r="J142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142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142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142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142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142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142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142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142" s="43">
        <f>(Dashboard!$C$13*tblHistory[[#This Row],[NDX S]]+Dashboard!$C$14*tblHistory[[#This Row],[SOX S]]+Dashboard!$C$15*tblHistory[[#This Row],[AIQ S]])/SUM(Dashboard!$C$13:$C$15)*100</f>
        <v/>
      </c>
      <c r="S142" s="43">
        <f>(Dashboard!$C$16*tblHistory[[#This Row],[ORCL S]]+Dashboard!$C$17*tblHistory[[#This Row],[CRWV S]])/SUM(Dashboard!$C$16:$C$17)*100</f>
        <v/>
      </c>
      <c r="T142" s="43">
        <f>(Dashboard!$C$18*tblHistory[[#This Row],[BIZD S]]+Dashboard!$C$19*tblHistory[[#This Row],[BKLN S]]+Dashboard!$C$20*tblHistory[[#This Row],[HY S]])/SUM(Dashboard!$C$18:$C$20)*100</f>
        <v/>
      </c>
      <c r="U142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142" s="43">
        <f>IFERROR(--(tblHistory[[#This Row],[Score]]&gt;=50),0)</f>
        <v/>
      </c>
      <c r="W142" s="43">
        <f>IFERROR(--AND(tblHistory[[#This Row],[Score]]&gt;=60,tblHistory[[#This Row],[BIZD S]]&gt;=0.8,tblHistory[[#This Row],[BKLN S]]&gt;=0.5),0)</f>
        <v/>
      </c>
      <c r="X142" s="43">
        <f>IFERROR(--AND(tblHistory[[#This Row],[Score]]&gt;=70,tblHistory[[#This Row],[SOX S]]&gt;=0.83,tblHistory[[#This Row],[AIQ S]]&gt;=0.8),0)</f>
        <v/>
      </c>
      <c r="Y142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142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142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142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142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143">
      <c r="A143" s="39" t="n">
        <v>46115</v>
      </c>
      <c r="B143" s="40" t="n">
        <v>30164.69</v>
      </c>
      <c r="C143" s="40" t="n">
        <v>12535.36</v>
      </c>
      <c r="D143" s="40" t="n">
        <v>54.38</v>
      </c>
      <c r="E143" s="40" t="n">
        <v>303.61</v>
      </c>
      <c r="F143" s="40" t="n">
        <v>33.33</v>
      </c>
      <c r="G143" s="40" t="n">
        <v>15.31</v>
      </c>
      <c r="H143" s="40" t="n">
        <v>21.21</v>
      </c>
      <c r="I143" s="41" t="n">
        <v>308</v>
      </c>
      <c r="J143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143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143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143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143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143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143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143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143" s="43">
        <f>(Dashboard!$C$13*tblHistory[[#This Row],[NDX S]]+Dashboard!$C$14*tblHistory[[#This Row],[SOX S]]+Dashboard!$C$15*tblHistory[[#This Row],[AIQ S]])/SUM(Dashboard!$C$13:$C$15)*100</f>
        <v/>
      </c>
      <c r="S143" s="43">
        <f>(Dashboard!$C$16*tblHistory[[#This Row],[ORCL S]]+Dashboard!$C$17*tblHistory[[#This Row],[CRWV S]])/SUM(Dashboard!$C$16:$C$17)*100</f>
        <v/>
      </c>
      <c r="T143" s="43">
        <f>(Dashboard!$C$18*tblHistory[[#This Row],[BIZD S]]+Dashboard!$C$19*tblHistory[[#This Row],[BKLN S]]+Dashboard!$C$20*tblHistory[[#This Row],[HY S]])/SUM(Dashboard!$C$18:$C$20)*100</f>
        <v/>
      </c>
      <c r="U143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143" s="43">
        <f>IFERROR(--(tblHistory[[#This Row],[Score]]&gt;=50),0)</f>
        <v/>
      </c>
      <c r="W143" s="43">
        <f>IFERROR(--AND(tblHistory[[#This Row],[Score]]&gt;=60,tblHistory[[#This Row],[BIZD S]]&gt;=0.8,tblHistory[[#This Row],[BKLN S]]&gt;=0.5),0)</f>
        <v/>
      </c>
      <c r="X143" s="43">
        <f>IFERROR(--AND(tblHistory[[#This Row],[Score]]&gt;=70,tblHistory[[#This Row],[SOX S]]&gt;=0.83,tblHistory[[#This Row],[AIQ S]]&gt;=0.8),0)</f>
        <v/>
      </c>
      <c r="Y143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143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143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143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143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144">
      <c r="A144" s="39" t="n">
        <v>46114</v>
      </c>
      <c r="B144" s="40" t="n">
        <v>30215.14</v>
      </c>
      <c r="C144" s="40" t="n">
        <v>12630.43</v>
      </c>
      <c r="D144" s="40" t="n">
        <v>54.8</v>
      </c>
      <c r="E144" s="40" t="n">
        <v>306.11</v>
      </c>
      <c r="F144" s="40" t="n">
        <v>34.95</v>
      </c>
      <c r="G144" s="40" t="n">
        <v>15.52</v>
      </c>
      <c r="H144" s="40" t="n">
        <v>21.29</v>
      </c>
      <c r="I144" s="41" t="n">
        <v>304</v>
      </c>
      <c r="J144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144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144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144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144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144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144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144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144" s="43">
        <f>(Dashboard!$C$13*tblHistory[[#This Row],[NDX S]]+Dashboard!$C$14*tblHistory[[#This Row],[SOX S]]+Dashboard!$C$15*tblHistory[[#This Row],[AIQ S]])/SUM(Dashboard!$C$13:$C$15)*100</f>
        <v/>
      </c>
      <c r="S144" s="43">
        <f>(Dashboard!$C$16*tblHistory[[#This Row],[ORCL S]]+Dashboard!$C$17*tblHistory[[#This Row],[CRWV S]])/SUM(Dashboard!$C$16:$C$17)*100</f>
        <v/>
      </c>
      <c r="T144" s="43">
        <f>(Dashboard!$C$18*tblHistory[[#This Row],[BIZD S]]+Dashboard!$C$19*tblHistory[[#This Row],[BKLN S]]+Dashboard!$C$20*tblHistory[[#This Row],[HY S]])/SUM(Dashboard!$C$18:$C$20)*100</f>
        <v/>
      </c>
      <c r="U144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144" s="43">
        <f>IFERROR(--(tblHistory[[#This Row],[Score]]&gt;=50),0)</f>
        <v/>
      </c>
      <c r="W144" s="43">
        <f>IFERROR(--AND(tblHistory[[#This Row],[Score]]&gt;=60,tblHistory[[#This Row],[BIZD S]]&gt;=0.8,tblHistory[[#This Row],[BKLN S]]&gt;=0.5),0)</f>
        <v/>
      </c>
      <c r="X144" s="43">
        <f>IFERROR(--AND(tblHistory[[#This Row],[Score]]&gt;=70,tblHistory[[#This Row],[SOX S]]&gt;=0.83,tblHistory[[#This Row],[AIQ S]]&gt;=0.8),0)</f>
        <v/>
      </c>
      <c r="Y144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144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144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144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144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145">
      <c r="A145" s="39" t="n">
        <v>46113</v>
      </c>
      <c r="B145" s="40" t="n">
        <v>30039.92</v>
      </c>
      <c r="C145" s="40" t="n">
        <v>13245.89</v>
      </c>
      <c r="D145" s="40" t="n">
        <v>54.44</v>
      </c>
      <c r="E145" s="40" t="n">
        <v>302.82</v>
      </c>
      <c r="F145" s="40" t="n">
        <v>33.81</v>
      </c>
      <c r="G145" s="40" t="n">
        <v>15.46</v>
      </c>
      <c r="H145" s="40" t="n">
        <v>21.27</v>
      </c>
      <c r="I145" s="41" t="n">
        <v>314</v>
      </c>
      <c r="J145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145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145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145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145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145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145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145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145" s="43">
        <f>(Dashboard!$C$13*tblHistory[[#This Row],[NDX S]]+Dashboard!$C$14*tblHistory[[#This Row],[SOX S]]+Dashboard!$C$15*tblHistory[[#This Row],[AIQ S]])/SUM(Dashboard!$C$13:$C$15)*100</f>
        <v/>
      </c>
      <c r="S145" s="43">
        <f>(Dashboard!$C$16*tblHistory[[#This Row],[ORCL S]]+Dashboard!$C$17*tblHistory[[#This Row],[CRWV S]])/SUM(Dashboard!$C$16:$C$17)*100</f>
        <v/>
      </c>
      <c r="T145" s="43">
        <f>(Dashboard!$C$18*tblHistory[[#This Row],[BIZD S]]+Dashboard!$C$19*tblHistory[[#This Row],[BKLN S]]+Dashboard!$C$20*tblHistory[[#This Row],[HY S]])/SUM(Dashboard!$C$18:$C$20)*100</f>
        <v/>
      </c>
      <c r="U145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145" s="43">
        <f>IFERROR(--(tblHistory[[#This Row],[Score]]&gt;=50),0)</f>
        <v/>
      </c>
      <c r="W145" s="43">
        <f>IFERROR(--AND(tblHistory[[#This Row],[Score]]&gt;=60,tblHistory[[#This Row],[BIZD S]]&gt;=0.8,tblHistory[[#This Row],[BKLN S]]&gt;=0.5),0)</f>
        <v/>
      </c>
      <c r="X145" s="43">
        <f>IFERROR(--AND(tblHistory[[#This Row],[Score]]&gt;=70,tblHistory[[#This Row],[SOX S]]&gt;=0.83,tblHistory[[#This Row],[AIQ S]]&gt;=0.8),0)</f>
        <v/>
      </c>
      <c r="Y145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145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145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145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145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146">
      <c r="A146" s="39" t="n">
        <v>46112</v>
      </c>
      <c r="B146" s="40" t="n">
        <v>29644.69</v>
      </c>
      <c r="C146" s="40" t="n">
        <v>12690.19</v>
      </c>
      <c r="D146" s="40" t="n">
        <v>54.98</v>
      </c>
      <c r="E146" s="40" t="n">
        <v>303.15</v>
      </c>
      <c r="F146" s="40" t="n">
        <v>34.48</v>
      </c>
      <c r="G146" s="40" t="n">
        <v>15.33</v>
      </c>
      <c r="H146" s="40" t="n">
        <v>21.27</v>
      </c>
      <c r="I146" s="41" t="n">
        <v>311</v>
      </c>
      <c r="J146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146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146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146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146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146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146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146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146" s="43">
        <f>(Dashboard!$C$13*tblHistory[[#This Row],[NDX S]]+Dashboard!$C$14*tblHistory[[#This Row],[SOX S]]+Dashboard!$C$15*tblHistory[[#This Row],[AIQ S]])/SUM(Dashboard!$C$13:$C$15)*100</f>
        <v/>
      </c>
      <c r="S146" s="43">
        <f>(Dashboard!$C$16*tblHistory[[#This Row],[ORCL S]]+Dashboard!$C$17*tblHistory[[#This Row],[CRWV S]])/SUM(Dashboard!$C$16:$C$17)*100</f>
        <v/>
      </c>
      <c r="T146" s="43">
        <f>(Dashboard!$C$18*tblHistory[[#This Row],[BIZD S]]+Dashboard!$C$19*tblHistory[[#This Row],[BKLN S]]+Dashboard!$C$20*tblHistory[[#This Row],[HY S]])/SUM(Dashboard!$C$18:$C$20)*100</f>
        <v/>
      </c>
      <c r="U146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146" s="43">
        <f>IFERROR(--(tblHistory[[#This Row],[Score]]&gt;=50),0)</f>
        <v/>
      </c>
      <c r="W146" s="43">
        <f>IFERROR(--AND(tblHistory[[#This Row],[Score]]&gt;=60,tblHistory[[#This Row],[BIZD S]]&gt;=0.8,tblHistory[[#This Row],[BKLN S]]&gt;=0.5),0)</f>
        <v/>
      </c>
      <c r="X146" s="43">
        <f>IFERROR(--AND(tblHistory[[#This Row],[Score]]&gt;=70,tblHistory[[#This Row],[SOX S]]&gt;=0.83,tblHistory[[#This Row],[AIQ S]]&gt;=0.8),0)</f>
        <v/>
      </c>
      <c r="Y146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146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146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146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146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147">
      <c r="A147" s="39" t="n">
        <v>46111</v>
      </c>
      <c r="B147" s="40" t="n">
        <v>29477.48</v>
      </c>
      <c r="C147" s="40" t="n">
        <v>12487.33</v>
      </c>
      <c r="D147" s="40" t="n">
        <v>54.61</v>
      </c>
      <c r="E147" s="40" t="n">
        <v>302.62</v>
      </c>
      <c r="F147" s="40" t="n">
        <v>35.04</v>
      </c>
      <c r="G147" s="40" t="n">
        <v>15.21</v>
      </c>
      <c r="H147" s="40" t="n">
        <v>21.31</v>
      </c>
      <c r="I147" s="41" t="n">
        <v>307</v>
      </c>
      <c r="J147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147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147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147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147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147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147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147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147" s="43">
        <f>(Dashboard!$C$13*tblHistory[[#This Row],[NDX S]]+Dashboard!$C$14*tblHistory[[#This Row],[SOX S]]+Dashboard!$C$15*tblHistory[[#This Row],[AIQ S]])/SUM(Dashboard!$C$13:$C$15)*100</f>
        <v/>
      </c>
      <c r="S147" s="43">
        <f>(Dashboard!$C$16*tblHistory[[#This Row],[ORCL S]]+Dashboard!$C$17*tblHistory[[#This Row],[CRWV S]])/SUM(Dashboard!$C$16:$C$17)*100</f>
        <v/>
      </c>
      <c r="T147" s="43">
        <f>(Dashboard!$C$18*tblHistory[[#This Row],[BIZD S]]+Dashboard!$C$19*tblHistory[[#This Row],[BKLN S]]+Dashboard!$C$20*tblHistory[[#This Row],[HY S]])/SUM(Dashboard!$C$18:$C$20)*100</f>
        <v/>
      </c>
      <c r="U147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147" s="43">
        <f>IFERROR(--(tblHistory[[#This Row],[Score]]&gt;=50),0)</f>
        <v/>
      </c>
      <c r="W147" s="43">
        <f>IFERROR(--AND(tblHistory[[#This Row],[Score]]&gt;=60,tblHistory[[#This Row],[BIZD S]]&gt;=0.8,tblHistory[[#This Row],[BKLN S]]&gt;=0.5),0)</f>
        <v/>
      </c>
      <c r="X147" s="43">
        <f>IFERROR(--AND(tblHistory[[#This Row],[Score]]&gt;=70,tblHistory[[#This Row],[SOX S]]&gt;=0.83,tblHistory[[#This Row],[AIQ S]]&gt;=0.8),0)</f>
        <v/>
      </c>
      <c r="Y147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147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147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147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147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148">
      <c r="A148" s="39" t="n">
        <v>46108</v>
      </c>
      <c r="B148" s="40" t="n">
        <v>29908.06</v>
      </c>
      <c r="C148" s="40" t="n">
        <v>12633.01</v>
      </c>
      <c r="D148" s="40" t="n">
        <v>54.69</v>
      </c>
      <c r="E148" s="40" t="n">
        <v>309.58</v>
      </c>
      <c r="F148" s="40" t="n">
        <v>34.64</v>
      </c>
      <c r="G148" s="40" t="n">
        <v>15.38</v>
      </c>
      <c r="H148" s="40" t="n">
        <v>21.31</v>
      </c>
      <c r="I148" s="41" t="n">
        <v>305</v>
      </c>
      <c r="J148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148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148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148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148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148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148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148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148" s="43">
        <f>(Dashboard!$C$13*tblHistory[[#This Row],[NDX S]]+Dashboard!$C$14*tblHistory[[#This Row],[SOX S]]+Dashboard!$C$15*tblHistory[[#This Row],[AIQ S]])/SUM(Dashboard!$C$13:$C$15)*100</f>
        <v/>
      </c>
      <c r="S148" s="43">
        <f>(Dashboard!$C$16*tblHistory[[#This Row],[ORCL S]]+Dashboard!$C$17*tblHistory[[#This Row],[CRWV S]])/SUM(Dashboard!$C$16:$C$17)*100</f>
        <v/>
      </c>
      <c r="T148" s="43">
        <f>(Dashboard!$C$18*tblHistory[[#This Row],[BIZD S]]+Dashboard!$C$19*tblHistory[[#This Row],[BKLN S]]+Dashboard!$C$20*tblHistory[[#This Row],[HY S]])/SUM(Dashboard!$C$18:$C$20)*100</f>
        <v/>
      </c>
      <c r="U148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148" s="43">
        <f>IFERROR(--(tblHistory[[#This Row],[Score]]&gt;=50),0)</f>
        <v/>
      </c>
      <c r="W148" s="43">
        <f>IFERROR(--AND(tblHistory[[#This Row],[Score]]&gt;=60,tblHistory[[#This Row],[BIZD S]]&gt;=0.8,tblHistory[[#This Row],[BKLN S]]&gt;=0.5),0)</f>
        <v/>
      </c>
      <c r="X148" s="43">
        <f>IFERROR(--AND(tblHistory[[#This Row],[Score]]&gt;=70,tblHistory[[#This Row],[SOX S]]&gt;=0.83,tblHistory[[#This Row],[AIQ S]]&gt;=0.8),0)</f>
        <v/>
      </c>
      <c r="Y148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148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148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148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148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149">
      <c r="A149" s="39" t="n">
        <v>46107</v>
      </c>
      <c r="B149" s="40" t="n">
        <v>29938.32</v>
      </c>
      <c r="C149" s="40" t="n">
        <v>12340.77</v>
      </c>
      <c r="D149" s="40" t="n">
        <v>55.01</v>
      </c>
      <c r="E149" s="40" t="n">
        <v>308.45</v>
      </c>
      <c r="F149" s="40" t="n">
        <v>33.3</v>
      </c>
      <c r="G149" s="40" t="n">
        <v>15.32</v>
      </c>
      <c r="H149" s="40" t="n">
        <v>21.24</v>
      </c>
      <c r="I149" s="41" t="n"/>
      <c r="J149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149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149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149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149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149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149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149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149" s="43">
        <f>(Dashboard!$C$13*tblHistory[[#This Row],[NDX S]]+Dashboard!$C$14*tblHistory[[#This Row],[SOX S]]+Dashboard!$C$15*tblHistory[[#This Row],[AIQ S]])/SUM(Dashboard!$C$13:$C$15)*100</f>
        <v/>
      </c>
      <c r="S149" s="43">
        <f>(Dashboard!$C$16*tblHistory[[#This Row],[ORCL S]]+Dashboard!$C$17*tblHistory[[#This Row],[CRWV S]])/SUM(Dashboard!$C$16:$C$17)*100</f>
        <v/>
      </c>
      <c r="T149" s="43">
        <f>(Dashboard!$C$18*tblHistory[[#This Row],[BIZD S]]+Dashboard!$C$19*tblHistory[[#This Row],[BKLN S]]+Dashboard!$C$20*tblHistory[[#This Row],[HY S]])/SUM(Dashboard!$C$18:$C$20)*100</f>
        <v/>
      </c>
      <c r="U149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149" s="43">
        <f>IFERROR(--(tblHistory[[#This Row],[Score]]&gt;=50),0)</f>
        <v/>
      </c>
      <c r="W149" s="43">
        <f>IFERROR(--AND(tblHistory[[#This Row],[Score]]&gt;=60,tblHistory[[#This Row],[BIZD S]]&gt;=0.8,tblHistory[[#This Row],[BKLN S]]&gt;=0.5),0)</f>
        <v/>
      </c>
      <c r="X149" s="43">
        <f>IFERROR(--AND(tblHistory[[#This Row],[Score]]&gt;=70,tblHistory[[#This Row],[SOX S]]&gt;=0.83,tblHistory[[#This Row],[AIQ S]]&gt;=0.8),0)</f>
        <v/>
      </c>
      <c r="Y149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149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149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149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149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150">
      <c r="A150" s="39" t="n">
        <v>46106</v>
      </c>
      <c r="B150" s="40" t="n">
        <v>29857.29</v>
      </c>
      <c r="C150" s="40" t="n">
        <v>12448.37</v>
      </c>
      <c r="D150" s="40" t="n">
        <v>54.86</v>
      </c>
      <c r="E150" s="40" t="n">
        <v>305.18</v>
      </c>
      <c r="F150" s="40" t="n">
        <v>31.87</v>
      </c>
      <c r="G150" s="40" t="n">
        <v>15.17</v>
      </c>
      <c r="H150" s="40" t="n">
        <v>21.15</v>
      </c>
      <c r="I150" s="41" t="n">
        <v>295</v>
      </c>
      <c r="J150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150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150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150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150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150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150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150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150" s="43">
        <f>(Dashboard!$C$13*tblHistory[[#This Row],[NDX S]]+Dashboard!$C$14*tblHistory[[#This Row],[SOX S]]+Dashboard!$C$15*tblHistory[[#This Row],[AIQ S]])/SUM(Dashboard!$C$13:$C$15)*100</f>
        <v/>
      </c>
      <c r="S150" s="43">
        <f>(Dashboard!$C$16*tblHistory[[#This Row],[ORCL S]]+Dashboard!$C$17*tblHistory[[#This Row],[CRWV S]])/SUM(Dashboard!$C$16:$C$17)*100</f>
        <v/>
      </c>
      <c r="T150" s="43">
        <f>(Dashboard!$C$18*tblHistory[[#This Row],[BIZD S]]+Dashboard!$C$19*tblHistory[[#This Row],[BKLN S]]+Dashboard!$C$20*tblHistory[[#This Row],[HY S]])/SUM(Dashboard!$C$18:$C$20)*100</f>
        <v/>
      </c>
      <c r="U150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150" s="43">
        <f>IFERROR(--(tblHistory[[#This Row],[Score]]&gt;=50),0)</f>
        <v/>
      </c>
      <c r="W150" s="43">
        <f>IFERROR(--AND(tblHistory[[#This Row],[Score]]&gt;=60,tblHistory[[#This Row],[BIZD S]]&gt;=0.8,tblHistory[[#This Row],[BKLN S]]&gt;=0.5),0)</f>
        <v/>
      </c>
      <c r="X150" s="43">
        <f>IFERROR(--AND(tblHistory[[#This Row],[Score]]&gt;=70,tblHistory[[#This Row],[SOX S]]&gt;=0.83,tblHistory[[#This Row],[AIQ S]]&gt;=0.8),0)</f>
        <v/>
      </c>
      <c r="Y150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150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150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150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150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151">
      <c r="A151" s="39" t="n">
        <v>46105</v>
      </c>
      <c r="B151" s="40" t="n">
        <v>29839.56</v>
      </c>
      <c r="C151" s="40" t="n">
        <v>11904.53</v>
      </c>
      <c r="D151" s="40" t="n">
        <v>55.41</v>
      </c>
      <c r="E151" s="40" t="n">
        <v>312.11</v>
      </c>
      <c r="F151" s="40" t="n">
        <v>32.27</v>
      </c>
      <c r="G151" s="40" t="n">
        <v>15.06</v>
      </c>
      <c r="H151" s="40" t="n">
        <v>21.2</v>
      </c>
      <c r="I151" s="41" t="n">
        <v>297</v>
      </c>
      <c r="J151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151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151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151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151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151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151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151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151" s="43">
        <f>(Dashboard!$C$13*tblHistory[[#This Row],[NDX S]]+Dashboard!$C$14*tblHistory[[#This Row],[SOX S]]+Dashboard!$C$15*tblHistory[[#This Row],[AIQ S]])/SUM(Dashboard!$C$13:$C$15)*100</f>
        <v/>
      </c>
      <c r="S151" s="43">
        <f>(Dashboard!$C$16*tblHistory[[#This Row],[ORCL S]]+Dashboard!$C$17*tblHistory[[#This Row],[CRWV S]])/SUM(Dashboard!$C$16:$C$17)*100</f>
        <v/>
      </c>
      <c r="T151" s="43">
        <f>(Dashboard!$C$18*tblHistory[[#This Row],[BIZD S]]+Dashboard!$C$19*tblHistory[[#This Row],[BKLN S]]+Dashboard!$C$20*tblHistory[[#This Row],[HY S]])/SUM(Dashboard!$C$18:$C$20)*100</f>
        <v/>
      </c>
      <c r="U151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151" s="43">
        <f>IFERROR(--(tblHistory[[#This Row],[Score]]&gt;=50),0)</f>
        <v/>
      </c>
      <c r="W151" s="43">
        <f>IFERROR(--AND(tblHistory[[#This Row],[Score]]&gt;=60,tblHistory[[#This Row],[BIZD S]]&gt;=0.8,tblHistory[[#This Row],[BKLN S]]&gt;=0.5),0)</f>
        <v/>
      </c>
      <c r="X151" s="43">
        <f>IFERROR(--AND(tblHistory[[#This Row],[Score]]&gt;=70,tblHistory[[#This Row],[SOX S]]&gt;=0.83,tblHistory[[#This Row],[AIQ S]]&gt;=0.8),0)</f>
        <v/>
      </c>
      <c r="Y151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151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151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151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151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152">
      <c r="A152" s="39" t="n">
        <v>46104</v>
      </c>
      <c r="B152" s="40" t="n">
        <v>29765.53</v>
      </c>
      <c r="C152" s="40" t="n">
        <v>12095.88</v>
      </c>
      <c r="D152" s="40" t="n">
        <v>56.59</v>
      </c>
      <c r="E152" s="40" t="n">
        <v>305.17</v>
      </c>
      <c r="F152" s="40" t="n">
        <v>31.4</v>
      </c>
      <c r="G152" s="40" t="n">
        <v>14.93</v>
      </c>
      <c r="H152" s="40" t="n">
        <v>21.17</v>
      </c>
      <c r="I152" s="41" t="n">
        <v>302</v>
      </c>
      <c r="J152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152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152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152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152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152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152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152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152" s="43">
        <f>(Dashboard!$C$13*tblHistory[[#This Row],[NDX S]]+Dashboard!$C$14*tblHistory[[#This Row],[SOX S]]+Dashboard!$C$15*tblHistory[[#This Row],[AIQ S]])/SUM(Dashboard!$C$13:$C$15)*100</f>
        <v/>
      </c>
      <c r="S152" s="43">
        <f>(Dashboard!$C$16*tblHistory[[#This Row],[ORCL S]]+Dashboard!$C$17*tblHistory[[#This Row],[CRWV S]])/SUM(Dashboard!$C$16:$C$17)*100</f>
        <v/>
      </c>
      <c r="T152" s="43">
        <f>(Dashboard!$C$18*tblHistory[[#This Row],[BIZD S]]+Dashboard!$C$19*tblHistory[[#This Row],[BKLN S]]+Dashboard!$C$20*tblHistory[[#This Row],[HY S]])/SUM(Dashboard!$C$18:$C$20)*100</f>
        <v/>
      </c>
      <c r="U152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152" s="43">
        <f>IFERROR(--(tblHistory[[#This Row],[Score]]&gt;=50),0)</f>
        <v/>
      </c>
      <c r="W152" s="43">
        <f>IFERROR(--AND(tblHistory[[#This Row],[Score]]&gt;=60,tblHistory[[#This Row],[BIZD S]]&gt;=0.8,tblHistory[[#This Row],[BKLN S]]&gt;=0.5),0)</f>
        <v/>
      </c>
      <c r="X152" s="43">
        <f>IFERROR(--AND(tblHistory[[#This Row],[Score]]&gt;=70,tblHistory[[#This Row],[SOX S]]&gt;=0.83,tblHistory[[#This Row],[AIQ S]]&gt;=0.8),0)</f>
        <v/>
      </c>
      <c r="Y152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152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152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152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152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153">
      <c r="A153" s="39" t="n">
        <v>46101</v>
      </c>
      <c r="B153" s="40" t="n">
        <v>29786.83</v>
      </c>
      <c r="C153" s="40" t="n">
        <v>11987.18</v>
      </c>
      <c r="D153" s="40" t="n">
        <v>56</v>
      </c>
      <c r="E153" s="40" t="n">
        <v>307.65</v>
      </c>
      <c r="F153" s="40" t="n">
        <v>30.85</v>
      </c>
      <c r="G153" s="40" t="n">
        <v>14.73</v>
      </c>
      <c r="H153" s="40" t="n">
        <v>21.16</v>
      </c>
      <c r="I153" s="41" t="n">
        <v>301</v>
      </c>
      <c r="J153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153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153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153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153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153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153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153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153" s="43">
        <f>(Dashboard!$C$13*tblHistory[[#This Row],[NDX S]]+Dashboard!$C$14*tblHistory[[#This Row],[SOX S]]+Dashboard!$C$15*tblHistory[[#This Row],[AIQ S]])/SUM(Dashboard!$C$13:$C$15)*100</f>
        <v/>
      </c>
      <c r="S153" s="43">
        <f>(Dashboard!$C$16*tblHistory[[#This Row],[ORCL S]]+Dashboard!$C$17*tblHistory[[#This Row],[CRWV S]])/SUM(Dashboard!$C$16:$C$17)*100</f>
        <v/>
      </c>
      <c r="T153" s="43">
        <f>(Dashboard!$C$18*tblHistory[[#This Row],[BIZD S]]+Dashboard!$C$19*tblHistory[[#This Row],[BKLN S]]+Dashboard!$C$20*tblHistory[[#This Row],[HY S]])/SUM(Dashboard!$C$18:$C$20)*100</f>
        <v/>
      </c>
      <c r="U153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153" s="43">
        <f>IFERROR(--(tblHistory[[#This Row],[Score]]&gt;=50),0)</f>
        <v/>
      </c>
      <c r="W153" s="43">
        <f>IFERROR(--AND(tblHistory[[#This Row],[Score]]&gt;=60,tblHistory[[#This Row],[BIZD S]]&gt;=0.8,tblHistory[[#This Row],[BKLN S]]&gt;=0.5),0)</f>
        <v/>
      </c>
      <c r="X153" s="43">
        <f>IFERROR(--AND(tblHistory[[#This Row],[Score]]&gt;=70,tblHistory[[#This Row],[SOX S]]&gt;=0.83,tblHistory[[#This Row],[AIQ S]]&gt;=0.8),0)</f>
        <v/>
      </c>
      <c r="Y153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153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153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153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153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154">
      <c r="A154" s="39" t="n">
        <v>46100</v>
      </c>
      <c r="B154" s="40" t="n">
        <v>29769.08</v>
      </c>
      <c r="C154" s="40" t="n">
        <v>12136.54</v>
      </c>
      <c r="D154" s="40" t="n">
        <v>55.14</v>
      </c>
      <c r="E154" s="40" t="n">
        <v>308.25</v>
      </c>
      <c r="F154" s="40" t="n">
        <v>30.69</v>
      </c>
      <c r="G154" s="40" t="n">
        <v>14.83</v>
      </c>
      <c r="H154" s="40" t="n">
        <v>21.14</v>
      </c>
      <c r="I154" s="41" t="n">
        <v>304</v>
      </c>
      <c r="J154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154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154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154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154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154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154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154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154" s="43">
        <f>(Dashboard!$C$13*tblHistory[[#This Row],[NDX S]]+Dashboard!$C$14*tblHistory[[#This Row],[SOX S]]+Dashboard!$C$15*tblHistory[[#This Row],[AIQ S]])/SUM(Dashboard!$C$13:$C$15)*100</f>
        <v/>
      </c>
      <c r="S154" s="43">
        <f>(Dashboard!$C$16*tblHistory[[#This Row],[ORCL S]]+Dashboard!$C$17*tblHistory[[#This Row],[CRWV S]])/SUM(Dashboard!$C$16:$C$17)*100</f>
        <v/>
      </c>
      <c r="T154" s="43">
        <f>(Dashboard!$C$18*tblHistory[[#This Row],[BIZD S]]+Dashboard!$C$19*tblHistory[[#This Row],[BKLN S]]+Dashboard!$C$20*tblHistory[[#This Row],[HY S]])/SUM(Dashboard!$C$18:$C$20)*100</f>
        <v/>
      </c>
      <c r="U154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154" s="43">
        <f>IFERROR(--(tblHistory[[#This Row],[Score]]&gt;=50),0)</f>
        <v/>
      </c>
      <c r="W154" s="43">
        <f>IFERROR(--AND(tblHistory[[#This Row],[Score]]&gt;=60,tblHistory[[#This Row],[BIZD S]]&gt;=0.8,tblHistory[[#This Row],[BKLN S]]&gt;=0.5),0)</f>
        <v/>
      </c>
      <c r="X154" s="43">
        <f>IFERROR(--AND(tblHistory[[#This Row],[Score]]&gt;=70,tblHistory[[#This Row],[SOX S]]&gt;=0.83,tblHistory[[#This Row],[AIQ S]]&gt;=0.8),0)</f>
        <v/>
      </c>
      <c r="Y154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154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154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154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154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155">
      <c r="A155" s="39" t="n">
        <v>46099</v>
      </c>
      <c r="B155" s="40" t="n">
        <v>29975.53</v>
      </c>
      <c r="C155" s="40" t="n">
        <v>11827.5</v>
      </c>
      <c r="D155" s="40" t="n">
        <v>55.73</v>
      </c>
      <c r="E155" s="40" t="n">
        <v>311.48</v>
      </c>
      <c r="F155" s="40" t="n">
        <v>30.25</v>
      </c>
      <c r="G155" s="40" t="n">
        <v>14.93</v>
      </c>
      <c r="H155" s="40" t="n">
        <v>21.15</v>
      </c>
      <c r="I155" s="41" t="n">
        <v>303</v>
      </c>
      <c r="J155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155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155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155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155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155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155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155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155" s="43">
        <f>(Dashboard!$C$13*tblHistory[[#This Row],[NDX S]]+Dashboard!$C$14*tblHistory[[#This Row],[SOX S]]+Dashboard!$C$15*tblHistory[[#This Row],[AIQ S]])/SUM(Dashboard!$C$13:$C$15)*100</f>
        <v/>
      </c>
      <c r="S155" s="43">
        <f>(Dashboard!$C$16*tblHistory[[#This Row],[ORCL S]]+Dashboard!$C$17*tblHistory[[#This Row],[CRWV S]])/SUM(Dashboard!$C$16:$C$17)*100</f>
        <v/>
      </c>
      <c r="T155" s="43">
        <f>(Dashboard!$C$18*tblHistory[[#This Row],[BIZD S]]+Dashboard!$C$19*tblHistory[[#This Row],[BKLN S]]+Dashboard!$C$20*tblHistory[[#This Row],[HY S]])/SUM(Dashboard!$C$18:$C$20)*100</f>
        <v/>
      </c>
      <c r="U155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155" s="43">
        <f>IFERROR(--(tblHistory[[#This Row],[Score]]&gt;=50),0)</f>
        <v/>
      </c>
      <c r="W155" s="43">
        <f>IFERROR(--AND(tblHistory[[#This Row],[Score]]&gt;=60,tblHistory[[#This Row],[BIZD S]]&gt;=0.8,tblHistory[[#This Row],[BKLN S]]&gt;=0.5),0)</f>
        <v/>
      </c>
      <c r="X155" s="43">
        <f>IFERROR(--AND(tblHistory[[#This Row],[Score]]&gt;=70,tblHistory[[#This Row],[SOX S]]&gt;=0.83,tblHistory[[#This Row],[AIQ S]]&gt;=0.8),0)</f>
        <v/>
      </c>
      <c r="Y155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155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155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155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155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156">
      <c r="A156" s="39" t="n">
        <v>46098</v>
      </c>
      <c r="B156" s="40" t="n">
        <v>30256.01</v>
      </c>
      <c r="C156" s="40" t="n">
        <v>11641.85</v>
      </c>
      <c r="D156" s="40" t="n">
        <v>53.88</v>
      </c>
      <c r="E156" s="40" t="n">
        <v>318.02</v>
      </c>
      <c r="F156" s="40" t="n">
        <v>32.4</v>
      </c>
      <c r="G156" s="40" t="n">
        <v>14.9</v>
      </c>
      <c r="H156" s="40" t="n">
        <v>21.17</v>
      </c>
      <c r="I156" s="41" t="n">
        <v>304</v>
      </c>
      <c r="J156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156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156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156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156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156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156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156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156" s="43">
        <f>(Dashboard!$C$13*tblHistory[[#This Row],[NDX S]]+Dashboard!$C$14*tblHistory[[#This Row],[SOX S]]+Dashboard!$C$15*tblHistory[[#This Row],[AIQ S]])/SUM(Dashboard!$C$13:$C$15)*100</f>
        <v/>
      </c>
      <c r="S156" s="43">
        <f>(Dashboard!$C$16*tblHistory[[#This Row],[ORCL S]]+Dashboard!$C$17*tblHistory[[#This Row],[CRWV S]])/SUM(Dashboard!$C$16:$C$17)*100</f>
        <v/>
      </c>
      <c r="T156" s="43">
        <f>(Dashboard!$C$18*tblHistory[[#This Row],[BIZD S]]+Dashboard!$C$19*tblHistory[[#This Row],[BKLN S]]+Dashboard!$C$20*tblHistory[[#This Row],[HY S]])/SUM(Dashboard!$C$18:$C$20)*100</f>
        <v/>
      </c>
      <c r="U156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156" s="43">
        <f>IFERROR(--(tblHistory[[#This Row],[Score]]&gt;=50),0)</f>
        <v/>
      </c>
      <c r="W156" s="43">
        <f>IFERROR(--AND(tblHistory[[#This Row],[Score]]&gt;=60,tblHistory[[#This Row],[BIZD S]]&gt;=0.8,tblHistory[[#This Row],[BKLN S]]&gt;=0.5),0)</f>
        <v/>
      </c>
      <c r="X156" s="43">
        <f>IFERROR(--AND(tblHistory[[#This Row],[Score]]&gt;=70,tblHistory[[#This Row],[SOX S]]&gt;=0.83,tblHistory[[#This Row],[AIQ S]]&gt;=0.8),0)</f>
        <v/>
      </c>
      <c r="Y156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156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156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156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156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157">
      <c r="A157" s="39" t="n">
        <v>46097</v>
      </c>
      <c r="B157" s="40" t="n">
        <v>30219.95</v>
      </c>
      <c r="C157" s="40" t="n">
        <v>11708.09</v>
      </c>
      <c r="D157" s="40" t="n">
        <v>53.58</v>
      </c>
      <c r="E157" s="40" t="n">
        <v>316.82</v>
      </c>
      <c r="F157" s="40" t="n">
        <v>32.56</v>
      </c>
      <c r="G157" s="40" t="n">
        <v>14.97</v>
      </c>
      <c r="H157" s="40" t="n">
        <v>21.18</v>
      </c>
      <c r="I157" s="41" t="n">
        <v>308</v>
      </c>
      <c r="J157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157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157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157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157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157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157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157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157" s="43">
        <f>(Dashboard!$C$13*tblHistory[[#This Row],[NDX S]]+Dashboard!$C$14*tblHistory[[#This Row],[SOX S]]+Dashboard!$C$15*tblHistory[[#This Row],[AIQ S]])/SUM(Dashboard!$C$13:$C$15)*100</f>
        <v/>
      </c>
      <c r="S157" s="43">
        <f>(Dashboard!$C$16*tblHistory[[#This Row],[ORCL S]]+Dashboard!$C$17*tblHistory[[#This Row],[CRWV S]])/SUM(Dashboard!$C$16:$C$17)*100</f>
        <v/>
      </c>
      <c r="T157" s="43">
        <f>(Dashboard!$C$18*tblHistory[[#This Row],[BIZD S]]+Dashboard!$C$19*tblHistory[[#This Row],[BKLN S]]+Dashboard!$C$20*tblHistory[[#This Row],[HY S]])/SUM(Dashboard!$C$18:$C$20)*100</f>
        <v/>
      </c>
      <c r="U157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157" s="43">
        <f>IFERROR(--(tblHistory[[#This Row],[Score]]&gt;=50),0)</f>
        <v/>
      </c>
      <c r="W157" s="43">
        <f>IFERROR(--AND(tblHistory[[#This Row],[Score]]&gt;=60,tblHistory[[#This Row],[BIZD S]]&gt;=0.8,tblHistory[[#This Row],[BKLN S]]&gt;=0.5),0)</f>
        <v/>
      </c>
      <c r="X157" s="43">
        <f>IFERROR(--AND(tblHistory[[#This Row],[Score]]&gt;=70,tblHistory[[#This Row],[SOX S]]&gt;=0.83,tblHistory[[#This Row],[AIQ S]]&gt;=0.8),0)</f>
        <v/>
      </c>
      <c r="Y157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157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157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157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157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158">
      <c r="A158" s="39" t="n">
        <v>46094</v>
      </c>
      <c r="B158" s="40" t="n">
        <v>29917.17</v>
      </c>
      <c r="C158" s="40" t="n">
        <v>11762.4</v>
      </c>
      <c r="D158" s="40" t="n">
        <v>53.37</v>
      </c>
      <c r="E158" s="40" t="n">
        <v>308.16</v>
      </c>
      <c r="F158" s="40" t="n">
        <v>30.43</v>
      </c>
      <c r="G158" s="40" t="n">
        <v>15.03</v>
      </c>
      <c r="H158" s="40" t="n">
        <v>21.12</v>
      </c>
      <c r="I158" s="41" t="n">
        <v>309</v>
      </c>
      <c r="J158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158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158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158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158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158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158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158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158" s="43">
        <f>(Dashboard!$C$13*tblHistory[[#This Row],[NDX S]]+Dashboard!$C$14*tblHistory[[#This Row],[SOX S]]+Dashboard!$C$15*tblHistory[[#This Row],[AIQ S]])/SUM(Dashboard!$C$13:$C$15)*100</f>
        <v/>
      </c>
      <c r="S158" s="43">
        <f>(Dashboard!$C$16*tblHistory[[#This Row],[ORCL S]]+Dashboard!$C$17*tblHistory[[#This Row],[CRWV S]])/SUM(Dashboard!$C$16:$C$17)*100</f>
        <v/>
      </c>
      <c r="T158" s="43">
        <f>(Dashboard!$C$18*tblHistory[[#This Row],[BIZD S]]+Dashboard!$C$19*tblHistory[[#This Row],[BKLN S]]+Dashboard!$C$20*tblHistory[[#This Row],[HY S]])/SUM(Dashboard!$C$18:$C$20)*100</f>
        <v/>
      </c>
      <c r="U158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158" s="43">
        <f>IFERROR(--(tblHistory[[#This Row],[Score]]&gt;=50),0)</f>
        <v/>
      </c>
      <c r="W158" s="43">
        <f>IFERROR(--AND(tblHistory[[#This Row],[Score]]&gt;=60,tblHistory[[#This Row],[BIZD S]]&gt;=0.8,tblHistory[[#This Row],[BKLN S]]&gt;=0.5),0)</f>
        <v/>
      </c>
      <c r="X158" s="43">
        <f>IFERROR(--AND(tblHistory[[#This Row],[Score]]&gt;=70,tblHistory[[#This Row],[SOX S]]&gt;=0.83,tblHistory[[#This Row],[AIQ S]]&gt;=0.8),0)</f>
        <v/>
      </c>
      <c r="Y158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158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158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158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158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159">
      <c r="A159" s="39" t="n">
        <v>46093</v>
      </c>
      <c r="B159" s="40" t="n">
        <v>30015.67</v>
      </c>
      <c r="C159" s="40" t="n">
        <v>11582.84</v>
      </c>
      <c r="D159" s="40" t="n">
        <v>54.22</v>
      </c>
      <c r="E159" s="40" t="n">
        <v>311.79</v>
      </c>
      <c r="F159" s="40" t="n">
        <v>28.19</v>
      </c>
      <c r="G159" s="40" t="n">
        <v>15.04</v>
      </c>
      <c r="H159" s="40" t="n">
        <v>21.12</v>
      </c>
      <c r="I159" s="41" t="n">
        <v>299</v>
      </c>
      <c r="J159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159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159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159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159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159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159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159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159" s="43">
        <f>(Dashboard!$C$13*tblHistory[[#This Row],[NDX S]]+Dashboard!$C$14*tblHistory[[#This Row],[SOX S]]+Dashboard!$C$15*tblHistory[[#This Row],[AIQ S]])/SUM(Dashboard!$C$13:$C$15)*100</f>
        <v/>
      </c>
      <c r="S159" s="43">
        <f>(Dashboard!$C$16*tblHistory[[#This Row],[ORCL S]]+Dashboard!$C$17*tblHistory[[#This Row],[CRWV S]])/SUM(Dashboard!$C$16:$C$17)*100</f>
        <v/>
      </c>
      <c r="T159" s="43">
        <f>(Dashboard!$C$18*tblHistory[[#This Row],[BIZD S]]+Dashboard!$C$19*tblHistory[[#This Row],[BKLN S]]+Dashboard!$C$20*tblHistory[[#This Row],[HY S]])/SUM(Dashboard!$C$18:$C$20)*100</f>
        <v/>
      </c>
      <c r="U159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159" s="43">
        <f>IFERROR(--(tblHistory[[#This Row],[Score]]&gt;=50),0)</f>
        <v/>
      </c>
      <c r="W159" s="43">
        <f>IFERROR(--AND(tblHistory[[#This Row],[Score]]&gt;=60,tblHistory[[#This Row],[BIZD S]]&gt;=0.8,tblHistory[[#This Row],[BKLN S]]&gt;=0.5),0)</f>
        <v/>
      </c>
      <c r="X159" s="43">
        <f>IFERROR(--AND(tblHistory[[#This Row],[Score]]&gt;=70,tblHistory[[#This Row],[SOX S]]&gt;=0.83,tblHistory[[#This Row],[AIQ S]]&gt;=0.8),0)</f>
        <v/>
      </c>
      <c r="Y159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159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159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159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159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160">
      <c r="A160" s="39" t="n">
        <v>46092</v>
      </c>
      <c r="B160" s="40" t="n">
        <v>29922.54</v>
      </c>
      <c r="C160" s="40" t="n">
        <v>11796.79</v>
      </c>
      <c r="D160" s="40" t="n">
        <v>55.13</v>
      </c>
      <c r="E160" s="40" t="n">
        <v>312.84</v>
      </c>
      <c r="F160" s="40" t="n">
        <v>28.72</v>
      </c>
      <c r="G160" s="40" t="n">
        <v>14.92</v>
      </c>
      <c r="H160" s="40" t="n">
        <v>21.11</v>
      </c>
      <c r="I160" s="41" t="n">
        <v>298</v>
      </c>
      <c r="J160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160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160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160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160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160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160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160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160" s="43">
        <f>(Dashboard!$C$13*tblHistory[[#This Row],[NDX S]]+Dashboard!$C$14*tblHistory[[#This Row],[SOX S]]+Dashboard!$C$15*tblHistory[[#This Row],[AIQ S]])/SUM(Dashboard!$C$13:$C$15)*100</f>
        <v/>
      </c>
      <c r="S160" s="43">
        <f>(Dashboard!$C$16*tblHistory[[#This Row],[ORCL S]]+Dashboard!$C$17*tblHistory[[#This Row],[CRWV S]])/SUM(Dashboard!$C$16:$C$17)*100</f>
        <v/>
      </c>
      <c r="T160" s="43">
        <f>(Dashboard!$C$18*tblHistory[[#This Row],[BIZD S]]+Dashboard!$C$19*tblHistory[[#This Row],[BKLN S]]+Dashboard!$C$20*tblHistory[[#This Row],[HY S]])/SUM(Dashboard!$C$18:$C$20)*100</f>
        <v/>
      </c>
      <c r="U160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160" s="43">
        <f>IFERROR(--(tblHistory[[#This Row],[Score]]&gt;=50),0)</f>
        <v/>
      </c>
      <c r="W160" s="43">
        <f>IFERROR(--AND(tblHistory[[#This Row],[Score]]&gt;=60,tblHistory[[#This Row],[BIZD S]]&gt;=0.8,tblHistory[[#This Row],[BKLN S]]&gt;=0.5),0)</f>
        <v/>
      </c>
      <c r="X160" s="43">
        <f>IFERROR(--AND(tblHistory[[#This Row],[Score]]&gt;=70,tblHistory[[#This Row],[SOX S]]&gt;=0.83,tblHistory[[#This Row],[AIQ S]]&gt;=0.8),0)</f>
        <v/>
      </c>
      <c r="Y160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160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160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160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160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161">
      <c r="A161" s="39" t="n">
        <v>46091</v>
      </c>
      <c r="B161" s="40" t="n">
        <v>29676.51</v>
      </c>
      <c r="C161" s="40" t="n">
        <v>11748.51</v>
      </c>
      <c r="D161" s="40" t="n">
        <v>54.73</v>
      </c>
      <c r="E161" s="40" t="n">
        <v>312.06</v>
      </c>
      <c r="F161" s="40" t="n">
        <v>29.23</v>
      </c>
      <c r="G161" s="40" t="n">
        <v>14.99</v>
      </c>
      <c r="H161" s="40" t="n">
        <v>21.12</v>
      </c>
      <c r="I161" s="41" t="n">
        <v>291</v>
      </c>
      <c r="J161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161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161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161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161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161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161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161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161" s="43">
        <f>(Dashboard!$C$13*tblHistory[[#This Row],[NDX S]]+Dashboard!$C$14*tblHistory[[#This Row],[SOX S]]+Dashboard!$C$15*tblHistory[[#This Row],[AIQ S]])/SUM(Dashboard!$C$13:$C$15)*100</f>
        <v/>
      </c>
      <c r="S161" s="43">
        <f>(Dashboard!$C$16*tblHistory[[#This Row],[ORCL S]]+Dashboard!$C$17*tblHistory[[#This Row],[CRWV S]])/SUM(Dashboard!$C$16:$C$17)*100</f>
        <v/>
      </c>
      <c r="T161" s="43">
        <f>(Dashboard!$C$18*tblHistory[[#This Row],[BIZD S]]+Dashboard!$C$19*tblHistory[[#This Row],[BKLN S]]+Dashboard!$C$20*tblHistory[[#This Row],[HY S]])/SUM(Dashboard!$C$18:$C$20)*100</f>
        <v/>
      </c>
      <c r="U161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161" s="43">
        <f>IFERROR(--(tblHistory[[#This Row],[Score]]&gt;=50),0)</f>
        <v/>
      </c>
      <c r="W161" s="43">
        <f>IFERROR(--AND(tblHistory[[#This Row],[Score]]&gt;=60,tblHistory[[#This Row],[BIZD S]]&gt;=0.8,tblHistory[[#This Row],[BKLN S]]&gt;=0.5),0)</f>
        <v/>
      </c>
      <c r="X161" s="43">
        <f>IFERROR(--AND(tblHistory[[#This Row],[Score]]&gt;=70,tblHistory[[#This Row],[SOX S]]&gt;=0.83,tblHistory[[#This Row],[AIQ S]]&gt;=0.8),0)</f>
        <v/>
      </c>
      <c r="Y161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161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161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161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161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162">
      <c r="A162" s="39" t="n">
        <v>46090</v>
      </c>
      <c r="B162" s="40" t="n">
        <v>29524.95</v>
      </c>
      <c r="C162" s="40" t="n">
        <v>11645.57</v>
      </c>
      <c r="D162" s="40" t="n">
        <v>53.81</v>
      </c>
      <c r="E162" s="40" t="n">
        <v>309.07</v>
      </c>
      <c r="F162" s="40" t="n">
        <v>30.19</v>
      </c>
      <c r="G162" s="40" t="n">
        <v>14.98</v>
      </c>
      <c r="H162" s="40" t="n">
        <v>21.13</v>
      </c>
      <c r="I162" s="41" t="n">
        <v>287</v>
      </c>
      <c r="J162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162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162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162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162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162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162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162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162" s="43">
        <f>(Dashboard!$C$13*tblHistory[[#This Row],[NDX S]]+Dashboard!$C$14*tblHistory[[#This Row],[SOX S]]+Dashboard!$C$15*tblHistory[[#This Row],[AIQ S]])/SUM(Dashboard!$C$13:$C$15)*100</f>
        <v/>
      </c>
      <c r="S162" s="43">
        <f>(Dashboard!$C$16*tblHistory[[#This Row],[ORCL S]]+Dashboard!$C$17*tblHistory[[#This Row],[CRWV S]])/SUM(Dashboard!$C$16:$C$17)*100</f>
        <v/>
      </c>
      <c r="T162" s="43">
        <f>(Dashboard!$C$18*tblHistory[[#This Row],[BIZD S]]+Dashboard!$C$19*tblHistory[[#This Row],[BKLN S]]+Dashboard!$C$20*tblHistory[[#This Row],[HY S]])/SUM(Dashboard!$C$18:$C$20)*100</f>
        <v/>
      </c>
      <c r="U162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162" s="43">
        <f>IFERROR(--(tblHistory[[#This Row],[Score]]&gt;=50),0)</f>
        <v/>
      </c>
      <c r="W162" s="43">
        <f>IFERROR(--AND(tblHistory[[#This Row],[Score]]&gt;=60,tblHistory[[#This Row],[BIZD S]]&gt;=0.8,tblHistory[[#This Row],[BKLN S]]&gt;=0.5),0)</f>
        <v/>
      </c>
      <c r="X162" s="43">
        <f>IFERROR(--AND(tblHistory[[#This Row],[Score]]&gt;=70,tblHistory[[#This Row],[SOX S]]&gt;=0.83,tblHistory[[#This Row],[AIQ S]]&gt;=0.8),0)</f>
        <v/>
      </c>
      <c r="Y162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162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162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162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162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163">
      <c r="A163" s="39" t="n">
        <v>46087</v>
      </c>
      <c r="B163" s="40" t="n">
        <v>29345.32</v>
      </c>
      <c r="C163" s="40" t="n">
        <v>11907.98</v>
      </c>
      <c r="D163" s="40" t="n">
        <v>52.95</v>
      </c>
      <c r="E163" s="40" t="n">
        <v>297.64</v>
      </c>
      <c r="F163" s="40" t="n">
        <v>29.42</v>
      </c>
      <c r="G163" s="40" t="n">
        <v>14.95</v>
      </c>
      <c r="H163" s="40" t="n">
        <v>21.09</v>
      </c>
      <c r="I163" s="41" t="n">
        <v>290</v>
      </c>
      <c r="J163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163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163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163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163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163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163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163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163" s="43">
        <f>(Dashboard!$C$13*tblHistory[[#This Row],[NDX S]]+Dashboard!$C$14*tblHistory[[#This Row],[SOX S]]+Dashboard!$C$15*tblHistory[[#This Row],[AIQ S]])/SUM(Dashboard!$C$13:$C$15)*100</f>
        <v/>
      </c>
      <c r="S163" s="43">
        <f>(Dashboard!$C$16*tblHistory[[#This Row],[ORCL S]]+Dashboard!$C$17*tblHistory[[#This Row],[CRWV S]])/SUM(Dashboard!$C$16:$C$17)*100</f>
        <v/>
      </c>
      <c r="T163" s="43">
        <f>(Dashboard!$C$18*tblHistory[[#This Row],[BIZD S]]+Dashboard!$C$19*tblHistory[[#This Row],[BKLN S]]+Dashboard!$C$20*tblHistory[[#This Row],[HY S]])/SUM(Dashboard!$C$18:$C$20)*100</f>
        <v/>
      </c>
      <c r="U163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163" s="43">
        <f>IFERROR(--(tblHistory[[#This Row],[Score]]&gt;=50),0)</f>
        <v/>
      </c>
      <c r="W163" s="43">
        <f>IFERROR(--AND(tblHistory[[#This Row],[Score]]&gt;=60,tblHistory[[#This Row],[BIZD S]]&gt;=0.8,tblHistory[[#This Row],[BKLN S]]&gt;=0.5),0)</f>
        <v/>
      </c>
      <c r="X163" s="43">
        <f>IFERROR(--AND(tblHistory[[#This Row],[Score]]&gt;=70,tblHistory[[#This Row],[SOX S]]&gt;=0.83,tblHistory[[#This Row],[AIQ S]]&gt;=0.8),0)</f>
        <v/>
      </c>
      <c r="Y163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163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163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163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163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164">
      <c r="A164" s="39" t="n">
        <v>46086</v>
      </c>
      <c r="B164" s="40" t="n">
        <v>29371.47</v>
      </c>
      <c r="C164" s="40" t="n">
        <v>11819.94</v>
      </c>
      <c r="D164" s="40" t="n">
        <v>52.62</v>
      </c>
      <c r="E164" s="40" t="n">
        <v>297.43</v>
      </c>
      <c r="F164" s="40" t="n">
        <v>30.33</v>
      </c>
      <c r="G164" s="40" t="n">
        <v>14.94</v>
      </c>
      <c r="H164" s="40" t="n">
        <v>21.1</v>
      </c>
      <c r="I164" s="41" t="n">
        <v>287</v>
      </c>
      <c r="J164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164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164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164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164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164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164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164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164" s="43">
        <f>(Dashboard!$C$13*tblHistory[[#This Row],[NDX S]]+Dashboard!$C$14*tblHistory[[#This Row],[SOX S]]+Dashboard!$C$15*tblHistory[[#This Row],[AIQ S]])/SUM(Dashboard!$C$13:$C$15)*100</f>
        <v/>
      </c>
      <c r="S164" s="43">
        <f>(Dashboard!$C$16*tblHistory[[#This Row],[ORCL S]]+Dashboard!$C$17*tblHistory[[#This Row],[CRWV S]])/SUM(Dashboard!$C$16:$C$17)*100</f>
        <v/>
      </c>
      <c r="T164" s="43">
        <f>(Dashboard!$C$18*tblHistory[[#This Row],[BIZD S]]+Dashboard!$C$19*tblHistory[[#This Row],[BKLN S]]+Dashboard!$C$20*tblHistory[[#This Row],[HY S]])/SUM(Dashboard!$C$18:$C$20)*100</f>
        <v/>
      </c>
      <c r="U164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164" s="43">
        <f>IFERROR(--(tblHistory[[#This Row],[Score]]&gt;=50),0)</f>
        <v/>
      </c>
      <c r="W164" s="43">
        <f>IFERROR(--AND(tblHistory[[#This Row],[Score]]&gt;=60,tblHistory[[#This Row],[BIZD S]]&gt;=0.8,tblHistory[[#This Row],[BKLN S]]&gt;=0.5),0)</f>
        <v/>
      </c>
      <c r="X164" s="43">
        <f>IFERROR(--AND(tblHistory[[#This Row],[Score]]&gt;=70,tblHistory[[#This Row],[SOX S]]&gt;=0.83,tblHistory[[#This Row],[AIQ S]]&gt;=0.8),0)</f>
        <v/>
      </c>
      <c r="Y164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164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164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164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164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165">
      <c r="A165" s="39" t="n">
        <v>46085</v>
      </c>
      <c r="B165" s="40" t="n">
        <v>29611.25</v>
      </c>
      <c r="C165" s="40" t="n">
        <v>11672.55</v>
      </c>
      <c r="D165" s="40" t="n">
        <v>52.96</v>
      </c>
      <c r="E165" s="40" t="n">
        <v>294.69</v>
      </c>
      <c r="F165" s="40" t="n">
        <v>30.59</v>
      </c>
      <c r="G165" s="40" t="n">
        <v>15.18</v>
      </c>
      <c r="H165" s="40" t="n">
        <v>21.09</v>
      </c>
      <c r="I165" s="41" t="n">
        <v>294</v>
      </c>
      <c r="J165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165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165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165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165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165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165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165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165" s="43">
        <f>(Dashboard!$C$13*tblHistory[[#This Row],[NDX S]]+Dashboard!$C$14*tblHistory[[#This Row],[SOX S]]+Dashboard!$C$15*tblHistory[[#This Row],[AIQ S]])/SUM(Dashboard!$C$13:$C$15)*100</f>
        <v/>
      </c>
      <c r="S165" s="43">
        <f>(Dashboard!$C$16*tblHistory[[#This Row],[ORCL S]]+Dashboard!$C$17*tblHistory[[#This Row],[CRWV S]])/SUM(Dashboard!$C$16:$C$17)*100</f>
        <v/>
      </c>
      <c r="T165" s="43">
        <f>(Dashboard!$C$18*tblHistory[[#This Row],[BIZD S]]+Dashboard!$C$19*tblHistory[[#This Row],[BKLN S]]+Dashboard!$C$20*tblHistory[[#This Row],[HY S]])/SUM(Dashboard!$C$18:$C$20)*100</f>
        <v/>
      </c>
      <c r="U165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165" s="43">
        <f>IFERROR(--(tblHistory[[#This Row],[Score]]&gt;=50),0)</f>
        <v/>
      </c>
      <c r="W165" s="43">
        <f>IFERROR(--AND(tblHistory[[#This Row],[Score]]&gt;=60,tblHistory[[#This Row],[BIZD S]]&gt;=0.8,tblHistory[[#This Row],[BKLN S]]&gt;=0.5),0)</f>
        <v/>
      </c>
      <c r="X165" s="43">
        <f>IFERROR(--AND(tblHistory[[#This Row],[Score]]&gt;=70,tblHistory[[#This Row],[SOX S]]&gt;=0.83,tblHistory[[#This Row],[AIQ S]]&gt;=0.8),0)</f>
        <v/>
      </c>
      <c r="Y165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165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165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165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165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166">
      <c r="A166" s="39" t="n">
        <v>46084</v>
      </c>
      <c r="B166" s="40" t="n">
        <v>29408.43</v>
      </c>
      <c r="C166" s="40" t="n">
        <v>11721.46</v>
      </c>
      <c r="D166" s="40" t="n">
        <v>51.73</v>
      </c>
      <c r="E166" s="40" t="n">
        <v>293.32</v>
      </c>
      <c r="F166" s="40" t="n">
        <v>29.49</v>
      </c>
      <c r="G166" s="40" t="n">
        <v>15.19</v>
      </c>
      <c r="H166" s="40" t="n">
        <v>21.13</v>
      </c>
      <c r="I166" s="41" t="n">
        <v>296</v>
      </c>
      <c r="J166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166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166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166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166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166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166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166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166" s="43">
        <f>(Dashboard!$C$13*tblHistory[[#This Row],[NDX S]]+Dashboard!$C$14*tblHistory[[#This Row],[SOX S]]+Dashboard!$C$15*tblHistory[[#This Row],[AIQ S]])/SUM(Dashboard!$C$13:$C$15)*100</f>
        <v/>
      </c>
      <c r="S166" s="43">
        <f>(Dashboard!$C$16*tblHistory[[#This Row],[ORCL S]]+Dashboard!$C$17*tblHistory[[#This Row],[CRWV S]])/SUM(Dashboard!$C$16:$C$17)*100</f>
        <v/>
      </c>
      <c r="T166" s="43">
        <f>(Dashboard!$C$18*tblHistory[[#This Row],[BIZD S]]+Dashboard!$C$19*tblHistory[[#This Row],[BKLN S]]+Dashboard!$C$20*tblHistory[[#This Row],[HY S]])/SUM(Dashboard!$C$18:$C$20)*100</f>
        <v/>
      </c>
      <c r="U166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166" s="43">
        <f>IFERROR(--(tblHistory[[#This Row],[Score]]&gt;=50),0)</f>
        <v/>
      </c>
      <c r="W166" s="43">
        <f>IFERROR(--AND(tblHistory[[#This Row],[Score]]&gt;=60,tblHistory[[#This Row],[BIZD S]]&gt;=0.8,tblHistory[[#This Row],[BKLN S]]&gt;=0.5),0)</f>
        <v/>
      </c>
      <c r="X166" s="43">
        <f>IFERROR(--AND(tblHistory[[#This Row],[Score]]&gt;=70,tblHistory[[#This Row],[SOX S]]&gt;=0.83,tblHistory[[#This Row],[AIQ S]]&gt;=0.8),0)</f>
        <v/>
      </c>
      <c r="Y166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166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166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166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166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167">
      <c r="A167" s="39" t="n">
        <v>46083</v>
      </c>
      <c r="B167" s="40" t="n">
        <v>29411.57</v>
      </c>
      <c r="C167" s="40" t="n">
        <v>11842.17</v>
      </c>
      <c r="D167" s="40" t="n">
        <v>51.46</v>
      </c>
      <c r="E167" s="40" t="n">
        <v>293.94</v>
      </c>
      <c r="F167" s="40" t="n">
        <v>31.14</v>
      </c>
      <c r="G167" s="40" t="n">
        <v>15.14</v>
      </c>
      <c r="H167" s="40" t="n">
        <v>21.11</v>
      </c>
      <c r="I167" s="41" t="n">
        <v>296</v>
      </c>
      <c r="J167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167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167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167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167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167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167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167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167" s="43">
        <f>(Dashboard!$C$13*tblHistory[[#This Row],[NDX S]]+Dashboard!$C$14*tblHistory[[#This Row],[SOX S]]+Dashboard!$C$15*tblHistory[[#This Row],[AIQ S]])/SUM(Dashboard!$C$13:$C$15)*100</f>
        <v/>
      </c>
      <c r="S167" s="43">
        <f>(Dashboard!$C$16*tblHistory[[#This Row],[ORCL S]]+Dashboard!$C$17*tblHistory[[#This Row],[CRWV S]])/SUM(Dashboard!$C$16:$C$17)*100</f>
        <v/>
      </c>
      <c r="T167" s="43">
        <f>(Dashboard!$C$18*tblHistory[[#This Row],[BIZD S]]+Dashboard!$C$19*tblHistory[[#This Row],[BKLN S]]+Dashboard!$C$20*tblHistory[[#This Row],[HY S]])/SUM(Dashboard!$C$18:$C$20)*100</f>
        <v/>
      </c>
      <c r="U167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167" s="43">
        <f>IFERROR(--(tblHistory[[#This Row],[Score]]&gt;=50),0)</f>
        <v/>
      </c>
      <c r="W167" s="43">
        <f>IFERROR(--AND(tblHistory[[#This Row],[Score]]&gt;=60,tblHistory[[#This Row],[BIZD S]]&gt;=0.8,tblHistory[[#This Row],[BKLN S]]&gt;=0.5),0)</f>
        <v/>
      </c>
      <c r="X167" s="43">
        <f>IFERROR(--AND(tblHistory[[#This Row],[Score]]&gt;=70,tblHistory[[#This Row],[SOX S]]&gt;=0.83,tblHistory[[#This Row],[AIQ S]]&gt;=0.8),0)</f>
        <v/>
      </c>
      <c r="Y167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167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167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167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167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168">
      <c r="A168" s="39" t="n">
        <v>46080</v>
      </c>
      <c r="B168" s="40" t="n">
        <v>29659</v>
      </c>
      <c r="C168" s="40" t="n">
        <v>11896.68</v>
      </c>
      <c r="D168" s="40" t="n">
        <v>51.73</v>
      </c>
      <c r="E168" s="40" t="n">
        <v>289.64</v>
      </c>
      <c r="F168" s="40" t="n">
        <v>32.21</v>
      </c>
      <c r="G168" s="40" t="n">
        <v>15.1</v>
      </c>
      <c r="H168" s="40" t="n">
        <v>21.14</v>
      </c>
      <c r="I168" s="41" t="n">
        <v>295</v>
      </c>
      <c r="J168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168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168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168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168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168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168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168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168" s="43">
        <f>(Dashboard!$C$13*tblHistory[[#This Row],[NDX S]]+Dashboard!$C$14*tblHistory[[#This Row],[SOX S]]+Dashboard!$C$15*tblHistory[[#This Row],[AIQ S]])/SUM(Dashboard!$C$13:$C$15)*100</f>
        <v/>
      </c>
      <c r="S168" s="43">
        <f>(Dashboard!$C$16*tblHistory[[#This Row],[ORCL S]]+Dashboard!$C$17*tblHistory[[#This Row],[CRWV S]])/SUM(Dashboard!$C$16:$C$17)*100</f>
        <v/>
      </c>
      <c r="T168" s="43">
        <f>(Dashboard!$C$18*tblHistory[[#This Row],[BIZD S]]+Dashboard!$C$19*tblHistory[[#This Row],[BKLN S]]+Dashboard!$C$20*tblHistory[[#This Row],[HY S]])/SUM(Dashboard!$C$18:$C$20)*100</f>
        <v/>
      </c>
      <c r="U168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168" s="43">
        <f>IFERROR(--(tblHistory[[#This Row],[Score]]&gt;=50),0)</f>
        <v/>
      </c>
      <c r="W168" s="43">
        <f>IFERROR(--AND(tblHistory[[#This Row],[Score]]&gt;=60,tblHistory[[#This Row],[BIZD S]]&gt;=0.8,tblHistory[[#This Row],[BKLN S]]&gt;=0.5),0)</f>
        <v/>
      </c>
      <c r="X168" s="43">
        <f>IFERROR(--AND(tblHistory[[#This Row],[Score]]&gt;=70,tblHistory[[#This Row],[SOX S]]&gt;=0.83,tblHistory[[#This Row],[AIQ S]]&gt;=0.8),0)</f>
        <v/>
      </c>
      <c r="Y168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168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168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168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168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169">
      <c r="A169" s="39" t="n">
        <v>46079</v>
      </c>
      <c r="B169" s="40" t="n">
        <v>30419.58</v>
      </c>
      <c r="C169" s="40" t="n">
        <v>11874</v>
      </c>
      <c r="D169" s="40" t="n">
        <v>50.94</v>
      </c>
      <c r="E169" s="40" t="n">
        <v>289.68</v>
      </c>
      <c r="F169" s="40" t="n">
        <v>32.85</v>
      </c>
      <c r="G169" s="40" t="n">
        <v>15.13</v>
      </c>
      <c r="H169" s="40" t="n">
        <v>21.13</v>
      </c>
      <c r="I169" s="41" t="n">
        <v>304</v>
      </c>
      <c r="J169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169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169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169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169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169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169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169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169" s="43">
        <f>(Dashboard!$C$13*tblHistory[[#This Row],[NDX S]]+Dashboard!$C$14*tblHistory[[#This Row],[SOX S]]+Dashboard!$C$15*tblHistory[[#This Row],[AIQ S]])/SUM(Dashboard!$C$13:$C$15)*100</f>
        <v/>
      </c>
      <c r="S169" s="43">
        <f>(Dashboard!$C$16*tblHistory[[#This Row],[ORCL S]]+Dashboard!$C$17*tblHistory[[#This Row],[CRWV S]])/SUM(Dashboard!$C$16:$C$17)*100</f>
        <v/>
      </c>
      <c r="T169" s="43">
        <f>(Dashboard!$C$18*tblHistory[[#This Row],[BIZD S]]+Dashboard!$C$19*tblHistory[[#This Row],[BKLN S]]+Dashboard!$C$20*tblHistory[[#This Row],[HY S]])/SUM(Dashboard!$C$18:$C$20)*100</f>
        <v/>
      </c>
      <c r="U169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169" s="43">
        <f>IFERROR(--(tblHistory[[#This Row],[Score]]&gt;=50),0)</f>
        <v/>
      </c>
      <c r="W169" s="43">
        <f>IFERROR(--AND(tblHistory[[#This Row],[Score]]&gt;=60,tblHistory[[#This Row],[BIZD S]]&gt;=0.8,tblHistory[[#This Row],[BKLN S]]&gt;=0.5),0)</f>
        <v/>
      </c>
      <c r="X169" s="43">
        <f>IFERROR(--AND(tblHistory[[#This Row],[Score]]&gt;=70,tblHistory[[#This Row],[SOX S]]&gt;=0.83,tblHistory[[#This Row],[AIQ S]]&gt;=0.8),0)</f>
        <v/>
      </c>
      <c r="Y169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169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169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169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169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170">
      <c r="A170" s="39" t="n">
        <v>46078</v>
      </c>
      <c r="B170" s="40" t="n">
        <v>30306.39</v>
      </c>
      <c r="C170" s="40" t="n">
        <v>11667.15</v>
      </c>
      <c r="D170" s="40" t="n">
        <v>49.85</v>
      </c>
      <c r="E170" s="40" t="n">
        <v>290.6</v>
      </c>
      <c r="F170" s="40" t="n">
        <v>32.38</v>
      </c>
      <c r="G170" s="40" t="n">
        <v>15.04</v>
      </c>
      <c r="H170" s="40" t="n">
        <v>21.17</v>
      </c>
      <c r="I170" s="41" t="n">
        <v>306</v>
      </c>
      <c r="J170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170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170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170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170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170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170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170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170" s="43">
        <f>(Dashboard!$C$13*tblHistory[[#This Row],[NDX S]]+Dashboard!$C$14*tblHistory[[#This Row],[SOX S]]+Dashboard!$C$15*tblHistory[[#This Row],[AIQ S]])/SUM(Dashboard!$C$13:$C$15)*100</f>
        <v/>
      </c>
      <c r="S170" s="43">
        <f>(Dashboard!$C$16*tblHistory[[#This Row],[ORCL S]]+Dashboard!$C$17*tblHistory[[#This Row],[CRWV S]])/SUM(Dashboard!$C$16:$C$17)*100</f>
        <v/>
      </c>
      <c r="T170" s="43">
        <f>(Dashboard!$C$18*tblHistory[[#This Row],[BIZD S]]+Dashboard!$C$19*tblHistory[[#This Row],[BKLN S]]+Dashboard!$C$20*tblHistory[[#This Row],[HY S]])/SUM(Dashboard!$C$18:$C$20)*100</f>
        <v/>
      </c>
      <c r="U170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170" s="43">
        <f>IFERROR(--(tblHistory[[#This Row],[Score]]&gt;=50),0)</f>
        <v/>
      </c>
      <c r="W170" s="43">
        <f>IFERROR(--AND(tblHistory[[#This Row],[Score]]&gt;=60,tblHistory[[#This Row],[BIZD S]]&gt;=0.8,tblHistory[[#This Row],[BKLN S]]&gt;=0.5),0)</f>
        <v/>
      </c>
      <c r="X170" s="43">
        <f>IFERROR(--AND(tblHistory[[#This Row],[Score]]&gt;=70,tblHistory[[#This Row],[SOX S]]&gt;=0.83,tblHistory[[#This Row],[AIQ S]]&gt;=0.8),0)</f>
        <v/>
      </c>
      <c r="Y170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170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170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170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170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171">
      <c r="A171" s="39" t="n">
        <v>46077</v>
      </c>
      <c r="B171" s="40" t="n">
        <v>30606.84</v>
      </c>
      <c r="C171" s="40" t="n">
        <v>11781.4</v>
      </c>
      <c r="D171" s="40" t="n">
        <v>49.65</v>
      </c>
      <c r="E171" s="40" t="n">
        <v>290.97</v>
      </c>
      <c r="F171" s="40" t="n">
        <v>30.23</v>
      </c>
      <c r="G171" s="40" t="n">
        <v>15.06</v>
      </c>
      <c r="H171" s="40" t="n">
        <v>21.21</v>
      </c>
      <c r="I171" s="41" t="n">
        <v>300</v>
      </c>
      <c r="J171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171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171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171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171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171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171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171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171" s="43">
        <f>(Dashboard!$C$13*tblHistory[[#This Row],[NDX S]]+Dashboard!$C$14*tblHistory[[#This Row],[SOX S]]+Dashboard!$C$15*tblHistory[[#This Row],[AIQ S]])/SUM(Dashboard!$C$13:$C$15)*100</f>
        <v/>
      </c>
      <c r="S171" s="43">
        <f>(Dashboard!$C$16*tblHistory[[#This Row],[ORCL S]]+Dashboard!$C$17*tblHistory[[#This Row],[CRWV S]])/SUM(Dashboard!$C$16:$C$17)*100</f>
        <v/>
      </c>
      <c r="T171" s="43">
        <f>(Dashboard!$C$18*tblHistory[[#This Row],[BIZD S]]+Dashboard!$C$19*tblHistory[[#This Row],[BKLN S]]+Dashboard!$C$20*tblHistory[[#This Row],[HY S]])/SUM(Dashboard!$C$18:$C$20)*100</f>
        <v/>
      </c>
      <c r="U171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171" s="43">
        <f>IFERROR(--(tblHistory[[#This Row],[Score]]&gt;=50),0)</f>
        <v/>
      </c>
      <c r="W171" s="43">
        <f>IFERROR(--AND(tblHistory[[#This Row],[Score]]&gt;=60,tblHistory[[#This Row],[BIZD S]]&gt;=0.8,tblHistory[[#This Row],[BKLN S]]&gt;=0.5),0)</f>
        <v/>
      </c>
      <c r="X171" s="43">
        <f>IFERROR(--AND(tblHistory[[#This Row],[Score]]&gt;=70,tblHistory[[#This Row],[SOX S]]&gt;=0.83,tblHistory[[#This Row],[AIQ S]]&gt;=0.8),0)</f>
        <v/>
      </c>
      <c r="Y171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171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171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171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171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172">
      <c r="A172" s="39" t="n">
        <v>46076</v>
      </c>
      <c r="B172" s="40" t="n">
        <v>30292.55</v>
      </c>
      <c r="C172" s="40" t="n">
        <v>11860.9</v>
      </c>
      <c r="D172" s="40" t="n">
        <v>49.21</v>
      </c>
      <c r="E172" s="40" t="n">
        <v>297.95</v>
      </c>
      <c r="F172" s="40" t="n">
        <v>29.37</v>
      </c>
      <c r="G172" s="40" t="n">
        <v>15.12</v>
      </c>
      <c r="H172" s="40" t="n">
        <v>21.21</v>
      </c>
      <c r="I172" s="41" t="n">
        <v>306</v>
      </c>
      <c r="J172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172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172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172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172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172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172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172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172" s="43">
        <f>(Dashboard!$C$13*tblHistory[[#This Row],[NDX S]]+Dashboard!$C$14*tblHistory[[#This Row],[SOX S]]+Dashboard!$C$15*tblHistory[[#This Row],[AIQ S]])/SUM(Dashboard!$C$13:$C$15)*100</f>
        <v/>
      </c>
      <c r="S172" s="43">
        <f>(Dashboard!$C$16*tblHistory[[#This Row],[ORCL S]]+Dashboard!$C$17*tblHistory[[#This Row],[CRWV S]])/SUM(Dashboard!$C$16:$C$17)*100</f>
        <v/>
      </c>
      <c r="T172" s="43">
        <f>(Dashboard!$C$18*tblHistory[[#This Row],[BIZD S]]+Dashboard!$C$19*tblHistory[[#This Row],[BKLN S]]+Dashboard!$C$20*tblHistory[[#This Row],[HY S]])/SUM(Dashboard!$C$18:$C$20)*100</f>
        <v/>
      </c>
      <c r="U172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172" s="43">
        <f>IFERROR(--(tblHistory[[#This Row],[Score]]&gt;=50),0)</f>
        <v/>
      </c>
      <c r="W172" s="43">
        <f>IFERROR(--AND(tblHistory[[#This Row],[Score]]&gt;=60,tblHistory[[#This Row],[BIZD S]]&gt;=0.8,tblHistory[[#This Row],[BKLN S]]&gt;=0.5),0)</f>
        <v/>
      </c>
      <c r="X172" s="43">
        <f>IFERROR(--AND(tblHistory[[#This Row],[Score]]&gt;=70,tblHistory[[#This Row],[SOX S]]&gt;=0.83,tblHistory[[#This Row],[AIQ S]]&gt;=0.8),0)</f>
        <v/>
      </c>
      <c r="Y172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172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172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172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172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173">
      <c r="A173" s="39" t="n">
        <v>46073</v>
      </c>
      <c r="B173" s="40" t="n">
        <v>29620.01</v>
      </c>
      <c r="C173" s="40" t="n">
        <v>11552</v>
      </c>
      <c r="D173" s="40" t="n">
        <v>49.49</v>
      </c>
      <c r="E173" s="40" t="n">
        <v>299.7</v>
      </c>
      <c r="F173" s="40" t="n">
        <v>28.6</v>
      </c>
      <c r="G173" s="40" t="n">
        <v>15.07</v>
      </c>
      <c r="H173" s="40" t="n">
        <v>21.2</v>
      </c>
      <c r="I173" s="41" t="n">
        <v>297</v>
      </c>
      <c r="J173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173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173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173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173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173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173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173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173" s="43">
        <f>(Dashboard!$C$13*tblHistory[[#This Row],[NDX S]]+Dashboard!$C$14*tblHistory[[#This Row],[SOX S]]+Dashboard!$C$15*tblHistory[[#This Row],[AIQ S]])/SUM(Dashboard!$C$13:$C$15)*100</f>
        <v/>
      </c>
      <c r="S173" s="43">
        <f>(Dashboard!$C$16*tblHistory[[#This Row],[ORCL S]]+Dashboard!$C$17*tblHistory[[#This Row],[CRWV S]])/SUM(Dashboard!$C$16:$C$17)*100</f>
        <v/>
      </c>
      <c r="T173" s="43">
        <f>(Dashboard!$C$18*tblHistory[[#This Row],[BIZD S]]+Dashboard!$C$19*tblHistory[[#This Row],[BKLN S]]+Dashboard!$C$20*tblHistory[[#This Row],[HY S]])/SUM(Dashboard!$C$18:$C$20)*100</f>
        <v/>
      </c>
      <c r="U173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173" s="43">
        <f>IFERROR(--(tblHistory[[#This Row],[Score]]&gt;=50),0)</f>
        <v/>
      </c>
      <c r="W173" s="43">
        <f>IFERROR(--AND(tblHistory[[#This Row],[Score]]&gt;=60,tblHistory[[#This Row],[BIZD S]]&gt;=0.8,tblHistory[[#This Row],[BKLN S]]&gt;=0.5),0)</f>
        <v/>
      </c>
      <c r="X173" s="43">
        <f>IFERROR(--AND(tblHistory[[#This Row],[Score]]&gt;=70,tblHistory[[#This Row],[SOX S]]&gt;=0.83,tblHistory[[#This Row],[AIQ S]]&gt;=0.8),0)</f>
        <v/>
      </c>
      <c r="Y173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173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173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173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173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174">
      <c r="A174" s="39" t="n">
        <v>46072</v>
      </c>
      <c r="B174" s="40" t="n">
        <v>29252.94</v>
      </c>
      <c r="C174" s="40" t="n">
        <v>11553.08</v>
      </c>
      <c r="D174" s="40" t="n">
        <v>48.98</v>
      </c>
      <c r="E174" s="40" t="n">
        <v>292.82</v>
      </c>
      <c r="F174" s="40" t="n">
        <v>30.32</v>
      </c>
      <c r="G174" s="40" t="n">
        <v>14.96</v>
      </c>
      <c r="H174" s="40" t="n">
        <v>21.14</v>
      </c>
      <c r="I174" s="41" t="n">
        <v>292</v>
      </c>
      <c r="J174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174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174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174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174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174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174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174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174" s="43">
        <f>(Dashboard!$C$13*tblHistory[[#This Row],[NDX S]]+Dashboard!$C$14*tblHistory[[#This Row],[SOX S]]+Dashboard!$C$15*tblHistory[[#This Row],[AIQ S]])/SUM(Dashboard!$C$13:$C$15)*100</f>
        <v/>
      </c>
      <c r="S174" s="43">
        <f>(Dashboard!$C$16*tblHistory[[#This Row],[ORCL S]]+Dashboard!$C$17*tblHistory[[#This Row],[CRWV S]])/SUM(Dashboard!$C$16:$C$17)*100</f>
        <v/>
      </c>
      <c r="T174" s="43">
        <f>(Dashboard!$C$18*tblHistory[[#This Row],[BIZD S]]+Dashboard!$C$19*tblHistory[[#This Row],[BKLN S]]+Dashboard!$C$20*tblHistory[[#This Row],[HY S]])/SUM(Dashboard!$C$18:$C$20)*100</f>
        <v/>
      </c>
      <c r="U174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174" s="43">
        <f>IFERROR(--(tblHistory[[#This Row],[Score]]&gt;=50),0)</f>
        <v/>
      </c>
      <c r="W174" s="43">
        <f>IFERROR(--AND(tblHistory[[#This Row],[Score]]&gt;=60,tblHistory[[#This Row],[BIZD S]]&gt;=0.8,tblHistory[[#This Row],[BKLN S]]&gt;=0.5),0)</f>
        <v/>
      </c>
      <c r="X174" s="43">
        <f>IFERROR(--AND(tblHistory[[#This Row],[Score]]&gt;=70,tblHistory[[#This Row],[SOX S]]&gt;=0.83,tblHistory[[#This Row],[AIQ S]]&gt;=0.8),0)</f>
        <v/>
      </c>
      <c r="Y174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174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174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174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174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175">
      <c r="A175" s="39" t="n">
        <v>46071</v>
      </c>
      <c r="B175" s="40" t="n">
        <v>28643.96</v>
      </c>
      <c r="C175" s="40" t="n">
        <v>11430.59</v>
      </c>
      <c r="D175" s="40" t="n">
        <v>49.83</v>
      </c>
      <c r="E175" s="40" t="n">
        <v>288.16</v>
      </c>
      <c r="F175" s="40" t="n">
        <v>28.32</v>
      </c>
      <c r="G175" s="40" t="n">
        <v>14.94</v>
      </c>
      <c r="H175" s="40" t="n">
        <v>21.14</v>
      </c>
      <c r="I175" s="41" t="n">
        <v>288</v>
      </c>
      <c r="J175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175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175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175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175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175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175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175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175" s="43">
        <f>(Dashboard!$C$13*tblHistory[[#This Row],[NDX S]]+Dashboard!$C$14*tblHistory[[#This Row],[SOX S]]+Dashboard!$C$15*tblHistory[[#This Row],[AIQ S]])/SUM(Dashboard!$C$13:$C$15)*100</f>
        <v/>
      </c>
      <c r="S175" s="43">
        <f>(Dashboard!$C$16*tblHistory[[#This Row],[ORCL S]]+Dashboard!$C$17*tblHistory[[#This Row],[CRWV S]])/SUM(Dashboard!$C$16:$C$17)*100</f>
        <v/>
      </c>
      <c r="T175" s="43">
        <f>(Dashboard!$C$18*tblHistory[[#This Row],[BIZD S]]+Dashboard!$C$19*tblHistory[[#This Row],[BKLN S]]+Dashboard!$C$20*tblHistory[[#This Row],[HY S]])/SUM(Dashboard!$C$18:$C$20)*100</f>
        <v/>
      </c>
      <c r="U175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175" s="43">
        <f>IFERROR(--(tblHistory[[#This Row],[Score]]&gt;=50),0)</f>
        <v/>
      </c>
      <c r="W175" s="43">
        <f>IFERROR(--AND(tblHistory[[#This Row],[Score]]&gt;=60,tblHistory[[#This Row],[BIZD S]]&gt;=0.8,tblHistory[[#This Row],[BKLN S]]&gt;=0.5),0)</f>
        <v/>
      </c>
      <c r="X175" s="43">
        <f>IFERROR(--AND(tblHistory[[#This Row],[Score]]&gt;=70,tblHistory[[#This Row],[SOX S]]&gt;=0.83,tblHistory[[#This Row],[AIQ S]]&gt;=0.8),0)</f>
        <v/>
      </c>
      <c r="Y175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175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175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175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175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176">
      <c r="A176" s="39" t="n">
        <v>46070</v>
      </c>
      <c r="B176" s="40" t="n">
        <v>29092.57</v>
      </c>
      <c r="C176" s="40" t="n">
        <v>11330.5</v>
      </c>
      <c r="D176" s="40" t="n">
        <v>49.74</v>
      </c>
      <c r="E176" s="40" t="n">
        <v>277.29</v>
      </c>
      <c r="F176" s="40" t="n">
        <v>29.47</v>
      </c>
      <c r="G176" s="40" t="n">
        <v>14.89</v>
      </c>
      <c r="H176" s="40" t="n">
        <v>21.15</v>
      </c>
      <c r="I176" s="41" t="n">
        <v>285</v>
      </c>
      <c r="J176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176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176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176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176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176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176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176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176" s="43">
        <f>(Dashboard!$C$13*tblHistory[[#This Row],[NDX S]]+Dashboard!$C$14*tblHistory[[#This Row],[SOX S]]+Dashboard!$C$15*tblHistory[[#This Row],[AIQ S]])/SUM(Dashboard!$C$13:$C$15)*100</f>
        <v/>
      </c>
      <c r="S176" s="43">
        <f>(Dashboard!$C$16*tblHistory[[#This Row],[ORCL S]]+Dashboard!$C$17*tblHistory[[#This Row],[CRWV S]])/SUM(Dashboard!$C$16:$C$17)*100</f>
        <v/>
      </c>
      <c r="T176" s="43">
        <f>(Dashboard!$C$18*tblHistory[[#This Row],[BIZD S]]+Dashboard!$C$19*tblHistory[[#This Row],[BKLN S]]+Dashboard!$C$20*tblHistory[[#This Row],[HY S]])/SUM(Dashboard!$C$18:$C$20)*100</f>
        <v/>
      </c>
      <c r="U176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176" s="43">
        <f>IFERROR(--(tblHistory[[#This Row],[Score]]&gt;=50),0)</f>
        <v/>
      </c>
      <c r="W176" s="43">
        <f>IFERROR(--AND(tblHistory[[#This Row],[Score]]&gt;=60,tblHistory[[#This Row],[BIZD S]]&gt;=0.8,tblHistory[[#This Row],[BKLN S]]&gt;=0.5),0)</f>
        <v/>
      </c>
      <c r="X176" s="43">
        <f>IFERROR(--AND(tblHistory[[#This Row],[Score]]&gt;=70,tblHistory[[#This Row],[SOX S]]&gt;=0.83,tblHistory[[#This Row],[AIQ S]]&gt;=0.8),0)</f>
        <v/>
      </c>
      <c r="Y176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176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176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176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176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177">
      <c r="A177" s="39" t="n">
        <v>46069</v>
      </c>
      <c r="B177" s="40" t="n">
        <v>29494.79</v>
      </c>
      <c r="C177" s="40" t="n">
        <v>11122.27</v>
      </c>
      <c r="D177" s="40" t="n">
        <v>49.04</v>
      </c>
      <c r="E177" s="40" t="n">
        <v>270.87</v>
      </c>
      <c r="F177" s="40" t="n">
        <v>27.55</v>
      </c>
      <c r="G177" s="40" t="n">
        <v>14.93</v>
      </c>
      <c r="H177" s="40" t="n">
        <v>21.16</v>
      </c>
      <c r="I177" s="41" t="n">
        <v>289</v>
      </c>
      <c r="J177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177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177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177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177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177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177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177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177" s="43">
        <f>(Dashboard!$C$13*tblHistory[[#This Row],[NDX S]]+Dashboard!$C$14*tblHistory[[#This Row],[SOX S]]+Dashboard!$C$15*tblHistory[[#This Row],[AIQ S]])/SUM(Dashboard!$C$13:$C$15)*100</f>
        <v/>
      </c>
      <c r="S177" s="43">
        <f>(Dashboard!$C$16*tblHistory[[#This Row],[ORCL S]]+Dashboard!$C$17*tblHistory[[#This Row],[CRWV S]])/SUM(Dashboard!$C$16:$C$17)*100</f>
        <v/>
      </c>
      <c r="T177" s="43">
        <f>(Dashboard!$C$18*tblHistory[[#This Row],[BIZD S]]+Dashboard!$C$19*tblHistory[[#This Row],[BKLN S]]+Dashboard!$C$20*tblHistory[[#This Row],[HY S]])/SUM(Dashboard!$C$18:$C$20)*100</f>
        <v/>
      </c>
      <c r="U177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177" s="43">
        <f>IFERROR(--(tblHistory[[#This Row],[Score]]&gt;=50),0)</f>
        <v/>
      </c>
      <c r="W177" s="43">
        <f>IFERROR(--AND(tblHistory[[#This Row],[Score]]&gt;=60,tblHistory[[#This Row],[BIZD S]]&gt;=0.8,tblHistory[[#This Row],[BKLN S]]&gt;=0.5),0)</f>
        <v/>
      </c>
      <c r="X177" s="43">
        <f>IFERROR(--AND(tblHistory[[#This Row],[Score]]&gt;=70,tblHistory[[#This Row],[SOX S]]&gt;=0.83,tblHistory[[#This Row],[AIQ S]]&gt;=0.8),0)</f>
        <v/>
      </c>
      <c r="Y177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177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177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177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177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178">
      <c r="A178" s="39" t="n">
        <v>46066</v>
      </c>
      <c r="B178" s="40" t="n">
        <v>29112.42</v>
      </c>
      <c r="C178" s="40" t="n">
        <v>11073.67</v>
      </c>
      <c r="D178" s="40" t="n">
        <v>48.38</v>
      </c>
      <c r="E178" s="40" t="n">
        <v>277.38</v>
      </c>
      <c r="F178" s="40" t="n">
        <v>26.29</v>
      </c>
      <c r="G178" s="40" t="n">
        <v>14.93</v>
      </c>
      <c r="H178" s="40" t="n">
        <v>21.19</v>
      </c>
      <c r="I178" s="41" t="n">
        <v>298</v>
      </c>
      <c r="J178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178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178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178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178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178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178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178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178" s="43">
        <f>(Dashboard!$C$13*tblHistory[[#This Row],[NDX S]]+Dashboard!$C$14*tblHistory[[#This Row],[SOX S]]+Dashboard!$C$15*tblHistory[[#This Row],[AIQ S]])/SUM(Dashboard!$C$13:$C$15)*100</f>
        <v/>
      </c>
      <c r="S178" s="43">
        <f>(Dashboard!$C$16*tblHistory[[#This Row],[ORCL S]]+Dashboard!$C$17*tblHistory[[#This Row],[CRWV S]])/SUM(Dashboard!$C$16:$C$17)*100</f>
        <v/>
      </c>
      <c r="T178" s="43">
        <f>(Dashboard!$C$18*tblHistory[[#This Row],[BIZD S]]+Dashboard!$C$19*tblHistory[[#This Row],[BKLN S]]+Dashboard!$C$20*tblHistory[[#This Row],[HY S]])/SUM(Dashboard!$C$18:$C$20)*100</f>
        <v/>
      </c>
      <c r="U178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178" s="43">
        <f>IFERROR(--(tblHistory[[#This Row],[Score]]&gt;=50),0)</f>
        <v/>
      </c>
      <c r="W178" s="43">
        <f>IFERROR(--AND(tblHistory[[#This Row],[Score]]&gt;=60,tblHistory[[#This Row],[BIZD S]]&gt;=0.8,tblHistory[[#This Row],[BKLN S]]&gt;=0.5),0)</f>
        <v/>
      </c>
      <c r="X178" s="43">
        <f>IFERROR(--AND(tblHistory[[#This Row],[Score]]&gt;=70,tblHistory[[#This Row],[SOX S]]&gt;=0.83,tblHistory[[#This Row],[AIQ S]]&gt;=0.8),0)</f>
        <v/>
      </c>
      <c r="Y178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178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178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178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178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179">
      <c r="A179" s="39" t="n">
        <v>46065</v>
      </c>
      <c r="B179" s="40" t="n">
        <v>28363.96</v>
      </c>
      <c r="C179" s="40" t="n">
        <v>11233.3</v>
      </c>
      <c r="D179" s="40" t="n">
        <v>48.45</v>
      </c>
      <c r="E179" s="40" t="n">
        <v>269.38</v>
      </c>
      <c r="F179" s="40" t="n">
        <v>26.49</v>
      </c>
      <c r="G179" s="40" t="n">
        <v>14.93</v>
      </c>
      <c r="H179" s="40" t="n">
        <v>21.25</v>
      </c>
      <c r="I179" s="41" t="n">
        <v>298</v>
      </c>
      <c r="J179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179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179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179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179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179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179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179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179" s="43">
        <f>(Dashboard!$C$13*tblHistory[[#This Row],[NDX S]]+Dashboard!$C$14*tblHistory[[#This Row],[SOX S]]+Dashboard!$C$15*tblHistory[[#This Row],[AIQ S]])/SUM(Dashboard!$C$13:$C$15)*100</f>
        <v/>
      </c>
      <c r="S179" s="43">
        <f>(Dashboard!$C$16*tblHistory[[#This Row],[ORCL S]]+Dashboard!$C$17*tblHistory[[#This Row],[CRWV S]])/SUM(Dashboard!$C$16:$C$17)*100</f>
        <v/>
      </c>
      <c r="T179" s="43">
        <f>(Dashboard!$C$18*tblHistory[[#This Row],[BIZD S]]+Dashboard!$C$19*tblHistory[[#This Row],[BKLN S]]+Dashboard!$C$20*tblHistory[[#This Row],[HY S]])/SUM(Dashboard!$C$18:$C$20)*100</f>
        <v/>
      </c>
      <c r="U179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179" s="43">
        <f>IFERROR(--(tblHistory[[#This Row],[Score]]&gt;=50),0)</f>
        <v/>
      </c>
      <c r="W179" s="43">
        <f>IFERROR(--AND(tblHistory[[#This Row],[Score]]&gt;=60,tblHistory[[#This Row],[BIZD S]]&gt;=0.8,tblHistory[[#This Row],[BKLN S]]&gt;=0.5),0)</f>
        <v/>
      </c>
      <c r="X179" s="43">
        <f>IFERROR(--AND(tblHistory[[#This Row],[Score]]&gt;=70,tblHistory[[#This Row],[SOX S]]&gt;=0.83,tblHistory[[#This Row],[AIQ S]]&gt;=0.8),0)</f>
        <v/>
      </c>
      <c r="Y179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179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179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179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179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180">
      <c r="A180" s="39" t="n">
        <v>46064</v>
      </c>
      <c r="B180" s="40" t="n">
        <v>28680.28</v>
      </c>
      <c r="C180" s="40" t="n">
        <v>11472.28</v>
      </c>
      <c r="D180" s="40" t="n">
        <v>48.25</v>
      </c>
      <c r="E180" s="40" t="n">
        <v>272.85</v>
      </c>
      <c r="F180" s="40" t="n">
        <v>25.12</v>
      </c>
      <c r="G180" s="40" t="n">
        <v>14.86</v>
      </c>
      <c r="H180" s="40" t="n">
        <v>21.26</v>
      </c>
      <c r="I180" s="41" t="n">
        <v>302</v>
      </c>
      <c r="J180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180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180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180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180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180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180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180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180" s="43">
        <f>(Dashboard!$C$13*tblHistory[[#This Row],[NDX S]]+Dashboard!$C$14*tblHistory[[#This Row],[SOX S]]+Dashboard!$C$15*tblHistory[[#This Row],[AIQ S]])/SUM(Dashboard!$C$13:$C$15)*100</f>
        <v/>
      </c>
      <c r="S180" s="43">
        <f>(Dashboard!$C$16*tblHistory[[#This Row],[ORCL S]]+Dashboard!$C$17*tblHistory[[#This Row],[CRWV S]])/SUM(Dashboard!$C$16:$C$17)*100</f>
        <v/>
      </c>
      <c r="T180" s="43">
        <f>(Dashboard!$C$18*tblHistory[[#This Row],[BIZD S]]+Dashboard!$C$19*tblHistory[[#This Row],[BKLN S]]+Dashboard!$C$20*tblHistory[[#This Row],[HY S]])/SUM(Dashboard!$C$18:$C$20)*100</f>
        <v/>
      </c>
      <c r="U180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180" s="43">
        <f>IFERROR(--(tblHistory[[#This Row],[Score]]&gt;=50),0)</f>
        <v/>
      </c>
      <c r="W180" s="43">
        <f>IFERROR(--AND(tblHistory[[#This Row],[Score]]&gt;=60,tblHistory[[#This Row],[BIZD S]]&gt;=0.8,tblHistory[[#This Row],[BKLN S]]&gt;=0.5),0)</f>
        <v/>
      </c>
      <c r="X180" s="43">
        <f>IFERROR(--AND(tblHistory[[#This Row],[Score]]&gt;=70,tblHistory[[#This Row],[SOX S]]&gt;=0.83,tblHistory[[#This Row],[AIQ S]]&gt;=0.8),0)</f>
        <v/>
      </c>
      <c r="Y180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180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180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180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180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181">
      <c r="A181" s="39" t="n">
        <v>46063</v>
      </c>
      <c r="B181" s="40" t="n">
        <v>28800.47</v>
      </c>
      <c r="C181" s="40" t="n">
        <v>11498.77</v>
      </c>
      <c r="D181" s="40" t="n">
        <v>48.35</v>
      </c>
      <c r="E181" s="40" t="n">
        <v>282.8</v>
      </c>
      <c r="F181" s="40" t="n">
        <v>23.84</v>
      </c>
      <c r="G181" s="40" t="n">
        <v>14.95</v>
      </c>
      <c r="H181" s="40" t="n">
        <v>21.28</v>
      </c>
      <c r="I181" s="41" t="n">
        <v>304</v>
      </c>
      <c r="J181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181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181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181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181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181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181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181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181" s="43">
        <f>(Dashboard!$C$13*tblHistory[[#This Row],[NDX S]]+Dashboard!$C$14*tblHistory[[#This Row],[SOX S]]+Dashboard!$C$15*tblHistory[[#This Row],[AIQ S]])/SUM(Dashboard!$C$13:$C$15)*100</f>
        <v/>
      </c>
      <c r="S181" s="43">
        <f>(Dashboard!$C$16*tblHistory[[#This Row],[ORCL S]]+Dashboard!$C$17*tblHistory[[#This Row],[CRWV S]])/SUM(Dashboard!$C$16:$C$17)*100</f>
        <v/>
      </c>
      <c r="T181" s="43">
        <f>(Dashboard!$C$18*tblHistory[[#This Row],[BIZD S]]+Dashboard!$C$19*tblHistory[[#This Row],[BKLN S]]+Dashboard!$C$20*tblHistory[[#This Row],[HY S]])/SUM(Dashboard!$C$18:$C$20)*100</f>
        <v/>
      </c>
      <c r="U181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181" s="43">
        <f>IFERROR(--(tblHistory[[#This Row],[Score]]&gt;=50),0)</f>
        <v/>
      </c>
      <c r="W181" s="43">
        <f>IFERROR(--AND(tblHistory[[#This Row],[Score]]&gt;=60,tblHistory[[#This Row],[BIZD S]]&gt;=0.8,tblHistory[[#This Row],[BKLN S]]&gt;=0.5),0)</f>
        <v/>
      </c>
      <c r="X181" s="43">
        <f>IFERROR(--AND(tblHistory[[#This Row],[Score]]&gt;=70,tblHistory[[#This Row],[SOX S]]&gt;=0.83,tblHistory[[#This Row],[AIQ S]]&gt;=0.8),0)</f>
        <v/>
      </c>
      <c r="Y181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181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181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181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181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182">
      <c r="A182" s="39" t="n">
        <v>46062</v>
      </c>
      <c r="B182" s="40" t="n">
        <v>28719.89</v>
      </c>
      <c r="C182" s="40" t="n">
        <v>11393.85</v>
      </c>
      <c r="D182" s="40" t="n">
        <v>47.08</v>
      </c>
      <c r="E182" s="40" t="n">
        <v>278.02</v>
      </c>
      <c r="F182" s="40" t="n">
        <v>23.1</v>
      </c>
      <c r="G182" s="40" t="n">
        <v>14.94</v>
      </c>
      <c r="H182" s="40" t="n">
        <v>21.29</v>
      </c>
      <c r="I182" s="41" t="n">
        <v>319</v>
      </c>
      <c r="J182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182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182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182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182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182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182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182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182" s="43">
        <f>(Dashboard!$C$13*tblHistory[[#This Row],[NDX S]]+Dashboard!$C$14*tblHistory[[#This Row],[SOX S]]+Dashboard!$C$15*tblHistory[[#This Row],[AIQ S]])/SUM(Dashboard!$C$13:$C$15)*100</f>
        <v/>
      </c>
      <c r="S182" s="43">
        <f>(Dashboard!$C$16*tblHistory[[#This Row],[ORCL S]]+Dashboard!$C$17*tblHistory[[#This Row],[CRWV S]])/SUM(Dashboard!$C$16:$C$17)*100</f>
        <v/>
      </c>
      <c r="T182" s="43">
        <f>(Dashboard!$C$18*tblHistory[[#This Row],[BIZD S]]+Dashboard!$C$19*tblHistory[[#This Row],[BKLN S]]+Dashboard!$C$20*tblHistory[[#This Row],[HY S]])/SUM(Dashboard!$C$18:$C$20)*100</f>
        <v/>
      </c>
      <c r="U182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182" s="43">
        <f>IFERROR(--(tblHistory[[#This Row],[Score]]&gt;=50),0)</f>
        <v/>
      </c>
      <c r="W182" s="43">
        <f>IFERROR(--AND(tblHistory[[#This Row],[Score]]&gt;=60,tblHistory[[#This Row],[BIZD S]]&gt;=0.8,tblHistory[[#This Row],[BKLN S]]&gt;=0.5),0)</f>
        <v/>
      </c>
      <c r="X182" s="43">
        <f>IFERROR(--AND(tblHistory[[#This Row],[Score]]&gt;=70,tblHistory[[#This Row],[SOX S]]&gt;=0.83,tblHistory[[#This Row],[AIQ S]]&gt;=0.8),0)</f>
        <v/>
      </c>
      <c r="Y182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182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182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182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182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183">
      <c r="A183" s="39" t="n">
        <v>46059</v>
      </c>
      <c r="B183" s="40" t="n">
        <v>28602.52</v>
      </c>
      <c r="C183" s="40" t="n">
        <v>11017.49</v>
      </c>
      <c r="D183" s="40" t="n">
        <v>45.8</v>
      </c>
      <c r="E183" s="40" t="n">
        <v>271.81</v>
      </c>
      <c r="F183" s="40" t="n">
        <v>23.33</v>
      </c>
      <c r="G183" s="40" t="n">
        <v>14.91</v>
      </c>
      <c r="H183" s="40" t="n">
        <v>21.28</v>
      </c>
      <c r="I183" s="41" t="n">
        <v>304</v>
      </c>
      <c r="J183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183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183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183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183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183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183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183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183" s="43">
        <f>(Dashboard!$C$13*tblHistory[[#This Row],[NDX S]]+Dashboard!$C$14*tblHistory[[#This Row],[SOX S]]+Dashboard!$C$15*tblHistory[[#This Row],[AIQ S]])/SUM(Dashboard!$C$13:$C$15)*100</f>
        <v/>
      </c>
      <c r="S183" s="43">
        <f>(Dashboard!$C$16*tblHistory[[#This Row],[ORCL S]]+Dashboard!$C$17*tblHistory[[#This Row],[CRWV S]])/SUM(Dashboard!$C$16:$C$17)*100</f>
        <v/>
      </c>
      <c r="T183" s="43">
        <f>(Dashboard!$C$18*tblHistory[[#This Row],[BIZD S]]+Dashboard!$C$19*tblHistory[[#This Row],[BKLN S]]+Dashboard!$C$20*tblHistory[[#This Row],[HY S]])/SUM(Dashboard!$C$18:$C$20)*100</f>
        <v/>
      </c>
      <c r="U183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183" s="43">
        <f>IFERROR(--(tblHistory[[#This Row],[Score]]&gt;=50),0)</f>
        <v/>
      </c>
      <c r="W183" s="43">
        <f>IFERROR(--AND(tblHistory[[#This Row],[Score]]&gt;=60,tblHistory[[#This Row],[BIZD S]]&gt;=0.8,tblHistory[[#This Row],[BKLN S]]&gt;=0.5),0)</f>
        <v/>
      </c>
      <c r="X183" s="43">
        <f>IFERROR(--AND(tblHistory[[#This Row],[Score]]&gt;=70,tblHistory[[#This Row],[SOX S]]&gt;=0.83,tblHistory[[#This Row],[AIQ S]]&gt;=0.8),0)</f>
        <v/>
      </c>
      <c r="Y183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183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183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183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183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184">
      <c r="A184" s="39" t="n">
        <v>46058</v>
      </c>
      <c r="B184" s="40" t="n">
        <v>28814.85</v>
      </c>
      <c r="C184" s="40" t="n">
        <v>11032.47</v>
      </c>
      <c r="D184" s="40" t="n">
        <v>45.15</v>
      </c>
      <c r="E184" s="40" t="n">
        <v>265.42</v>
      </c>
      <c r="F184" s="40" t="n">
        <v>22.92</v>
      </c>
      <c r="G184" s="40" t="n">
        <v>15.06</v>
      </c>
      <c r="H184" s="40" t="n">
        <v>21.28</v>
      </c>
      <c r="I184" s="41" t="n">
        <v>309</v>
      </c>
      <c r="J184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184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184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184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184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184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184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184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184" s="43">
        <f>(Dashboard!$C$13*tblHistory[[#This Row],[NDX S]]+Dashboard!$C$14*tblHistory[[#This Row],[SOX S]]+Dashboard!$C$15*tblHistory[[#This Row],[AIQ S]])/SUM(Dashboard!$C$13:$C$15)*100</f>
        <v/>
      </c>
      <c r="S184" s="43">
        <f>(Dashboard!$C$16*tblHistory[[#This Row],[ORCL S]]+Dashboard!$C$17*tblHistory[[#This Row],[CRWV S]])/SUM(Dashboard!$C$16:$C$17)*100</f>
        <v/>
      </c>
      <c r="T184" s="43">
        <f>(Dashboard!$C$18*tblHistory[[#This Row],[BIZD S]]+Dashboard!$C$19*tblHistory[[#This Row],[BKLN S]]+Dashboard!$C$20*tblHistory[[#This Row],[HY S]])/SUM(Dashboard!$C$18:$C$20)*100</f>
        <v/>
      </c>
      <c r="U184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184" s="43">
        <f>IFERROR(--(tblHistory[[#This Row],[Score]]&gt;=50),0)</f>
        <v/>
      </c>
      <c r="W184" s="43">
        <f>IFERROR(--AND(tblHistory[[#This Row],[Score]]&gt;=60,tblHistory[[#This Row],[BIZD S]]&gt;=0.8,tblHistory[[#This Row],[BKLN S]]&gt;=0.5),0)</f>
        <v/>
      </c>
      <c r="X184" s="43">
        <f>IFERROR(--AND(tblHistory[[#This Row],[Score]]&gt;=70,tblHistory[[#This Row],[SOX S]]&gt;=0.83,tblHistory[[#This Row],[AIQ S]]&gt;=0.8),0)</f>
        <v/>
      </c>
      <c r="Y184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184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184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184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184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185">
      <c r="A185" s="39" t="n">
        <v>46057</v>
      </c>
      <c r="B185" s="40" t="n">
        <v>29286.29</v>
      </c>
      <c r="C185" s="40" t="n">
        <v>11196.58</v>
      </c>
      <c r="D185" s="40" t="n">
        <v>45.9</v>
      </c>
      <c r="E185" s="40" t="n">
        <v>263.08</v>
      </c>
      <c r="F185" s="40" t="n">
        <v>22.98</v>
      </c>
      <c r="G185" s="40" t="n">
        <v>15.05</v>
      </c>
      <c r="H185" s="40" t="n">
        <v>21.31</v>
      </c>
      <c r="I185" s="41" t="n"/>
      <c r="J185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185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185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185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185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185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185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185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185" s="43">
        <f>(Dashboard!$C$13*tblHistory[[#This Row],[NDX S]]+Dashboard!$C$14*tblHistory[[#This Row],[SOX S]]+Dashboard!$C$15*tblHistory[[#This Row],[AIQ S]])/SUM(Dashboard!$C$13:$C$15)*100</f>
        <v/>
      </c>
      <c r="S185" s="43">
        <f>(Dashboard!$C$16*tblHistory[[#This Row],[ORCL S]]+Dashboard!$C$17*tblHistory[[#This Row],[CRWV S]])/SUM(Dashboard!$C$16:$C$17)*100</f>
        <v/>
      </c>
      <c r="T185" s="43">
        <f>(Dashboard!$C$18*tblHistory[[#This Row],[BIZD S]]+Dashboard!$C$19*tblHistory[[#This Row],[BKLN S]]+Dashboard!$C$20*tblHistory[[#This Row],[HY S]])/SUM(Dashboard!$C$18:$C$20)*100</f>
        <v/>
      </c>
      <c r="U185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185" s="43">
        <f>IFERROR(--(tblHistory[[#This Row],[Score]]&gt;=50),0)</f>
        <v/>
      </c>
      <c r="W185" s="43">
        <f>IFERROR(--AND(tblHistory[[#This Row],[Score]]&gt;=60,tblHistory[[#This Row],[BIZD S]]&gt;=0.8,tblHistory[[#This Row],[BKLN S]]&gt;=0.5),0)</f>
        <v/>
      </c>
      <c r="X185" s="43">
        <f>IFERROR(--AND(tblHistory[[#This Row],[Score]]&gt;=70,tblHistory[[#This Row],[SOX S]]&gt;=0.83,tblHistory[[#This Row],[AIQ S]]&gt;=0.8),0)</f>
        <v/>
      </c>
      <c r="Y185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185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185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185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185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186">
      <c r="A186" s="39" t="n">
        <v>46056</v>
      </c>
      <c r="B186" s="40" t="n">
        <v>28640.09</v>
      </c>
      <c r="C186" s="40" t="n">
        <v>11035.06</v>
      </c>
      <c r="D186" s="40" t="n">
        <v>45.01</v>
      </c>
      <c r="E186" s="40" t="n">
        <v>268.9</v>
      </c>
      <c r="F186" s="40" t="n">
        <v>22.02</v>
      </c>
      <c r="G186" s="40" t="n">
        <v>15.04</v>
      </c>
      <c r="H186" s="40" t="n">
        <v>21.3</v>
      </c>
      <c r="I186" s="41" t="n">
        <v>312</v>
      </c>
      <c r="J186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186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186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186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186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186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186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186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186" s="43">
        <f>(Dashboard!$C$13*tblHistory[[#This Row],[NDX S]]+Dashboard!$C$14*tblHistory[[#This Row],[SOX S]]+Dashboard!$C$15*tblHistory[[#This Row],[AIQ S]])/SUM(Dashboard!$C$13:$C$15)*100</f>
        <v/>
      </c>
      <c r="S186" s="43">
        <f>(Dashboard!$C$16*tblHistory[[#This Row],[ORCL S]]+Dashboard!$C$17*tblHistory[[#This Row],[CRWV S]])/SUM(Dashboard!$C$16:$C$17)*100</f>
        <v/>
      </c>
      <c r="T186" s="43">
        <f>(Dashboard!$C$18*tblHistory[[#This Row],[BIZD S]]+Dashboard!$C$19*tblHistory[[#This Row],[BKLN S]]+Dashboard!$C$20*tblHistory[[#This Row],[HY S]])/SUM(Dashboard!$C$18:$C$20)*100</f>
        <v/>
      </c>
      <c r="U186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186" s="43">
        <f>IFERROR(--(tblHistory[[#This Row],[Score]]&gt;=50),0)</f>
        <v/>
      </c>
      <c r="W186" s="43">
        <f>IFERROR(--AND(tblHistory[[#This Row],[Score]]&gt;=60,tblHistory[[#This Row],[BIZD S]]&gt;=0.8,tblHistory[[#This Row],[BKLN S]]&gt;=0.5),0)</f>
        <v/>
      </c>
      <c r="X186" s="43">
        <f>IFERROR(--AND(tblHistory[[#This Row],[Score]]&gt;=70,tblHistory[[#This Row],[SOX S]]&gt;=0.83,tblHistory[[#This Row],[AIQ S]]&gt;=0.8),0)</f>
        <v/>
      </c>
      <c r="Y186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186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186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186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186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187">
      <c r="A187" s="39" t="n">
        <v>46055</v>
      </c>
      <c r="B187" s="40" t="n">
        <v>28171.21</v>
      </c>
      <c r="C187" s="40" t="n">
        <v>11113.56</v>
      </c>
      <c r="D187" s="40" t="n">
        <v>44.76</v>
      </c>
      <c r="E187" s="40" t="n">
        <v>268.5</v>
      </c>
      <c r="F187" s="40" t="n">
        <v>22.74</v>
      </c>
      <c r="G187" s="40" t="n">
        <v>15.07</v>
      </c>
      <c r="H187" s="40" t="n">
        <v>21.26</v>
      </c>
      <c r="I187" s="41" t="n">
        <v>297</v>
      </c>
      <c r="J187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187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187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187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187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187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187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187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187" s="43">
        <f>(Dashboard!$C$13*tblHistory[[#This Row],[NDX S]]+Dashboard!$C$14*tblHistory[[#This Row],[SOX S]]+Dashboard!$C$15*tblHistory[[#This Row],[AIQ S]])/SUM(Dashboard!$C$13:$C$15)*100</f>
        <v/>
      </c>
      <c r="S187" s="43">
        <f>(Dashboard!$C$16*tblHistory[[#This Row],[ORCL S]]+Dashboard!$C$17*tblHistory[[#This Row],[CRWV S]])/SUM(Dashboard!$C$16:$C$17)*100</f>
        <v/>
      </c>
      <c r="T187" s="43">
        <f>(Dashboard!$C$18*tblHistory[[#This Row],[BIZD S]]+Dashboard!$C$19*tblHistory[[#This Row],[BKLN S]]+Dashboard!$C$20*tblHistory[[#This Row],[HY S]])/SUM(Dashboard!$C$18:$C$20)*100</f>
        <v/>
      </c>
      <c r="U187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187" s="43">
        <f>IFERROR(--(tblHistory[[#This Row],[Score]]&gt;=50),0)</f>
        <v/>
      </c>
      <c r="W187" s="43">
        <f>IFERROR(--AND(tblHistory[[#This Row],[Score]]&gt;=60,tblHistory[[#This Row],[BIZD S]]&gt;=0.8,tblHistory[[#This Row],[BKLN S]]&gt;=0.5),0)</f>
        <v/>
      </c>
      <c r="X187" s="43">
        <f>IFERROR(--AND(tblHistory[[#This Row],[Score]]&gt;=70,tblHistory[[#This Row],[SOX S]]&gt;=0.83,tblHistory[[#This Row],[AIQ S]]&gt;=0.8),0)</f>
        <v/>
      </c>
      <c r="Y187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187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187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187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187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188">
      <c r="A188" s="39" t="n">
        <v>46052</v>
      </c>
      <c r="B188" s="40" t="n">
        <v>28392.51</v>
      </c>
      <c r="C188" s="40" t="n">
        <v>10922.97</v>
      </c>
      <c r="D188" s="40" t="n">
        <v>43.98</v>
      </c>
      <c r="E188" s="40" t="n">
        <v>261.87</v>
      </c>
      <c r="F188" s="40" t="n">
        <v>21.88</v>
      </c>
      <c r="G188" s="40" t="n">
        <v>15.32</v>
      </c>
      <c r="H188" s="40" t="n">
        <v>21.24</v>
      </c>
      <c r="I188" s="41" t="n">
        <v>299</v>
      </c>
      <c r="J188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188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188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188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188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188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188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188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188" s="43">
        <f>(Dashboard!$C$13*tblHistory[[#This Row],[NDX S]]+Dashboard!$C$14*tblHistory[[#This Row],[SOX S]]+Dashboard!$C$15*tblHistory[[#This Row],[AIQ S]])/SUM(Dashboard!$C$13:$C$15)*100</f>
        <v/>
      </c>
      <c r="S188" s="43">
        <f>(Dashboard!$C$16*tblHistory[[#This Row],[ORCL S]]+Dashboard!$C$17*tblHistory[[#This Row],[CRWV S]])/SUM(Dashboard!$C$16:$C$17)*100</f>
        <v/>
      </c>
      <c r="T188" s="43">
        <f>(Dashboard!$C$18*tblHistory[[#This Row],[BIZD S]]+Dashboard!$C$19*tblHistory[[#This Row],[BKLN S]]+Dashboard!$C$20*tblHistory[[#This Row],[HY S]])/SUM(Dashboard!$C$18:$C$20)*100</f>
        <v/>
      </c>
      <c r="U188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188" s="43">
        <f>IFERROR(--(tblHistory[[#This Row],[Score]]&gt;=50),0)</f>
        <v/>
      </c>
      <c r="W188" s="43">
        <f>IFERROR(--AND(tblHistory[[#This Row],[Score]]&gt;=60,tblHistory[[#This Row],[BIZD S]]&gt;=0.8,tblHistory[[#This Row],[BKLN S]]&gt;=0.5),0)</f>
        <v/>
      </c>
      <c r="X188" s="43">
        <f>IFERROR(--AND(tblHistory[[#This Row],[Score]]&gt;=70,tblHistory[[#This Row],[SOX S]]&gt;=0.83,tblHistory[[#This Row],[AIQ S]]&gt;=0.8),0)</f>
        <v/>
      </c>
      <c r="Y188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188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188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188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188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189">
      <c r="A189" s="39" t="n">
        <v>46051</v>
      </c>
      <c r="B189" s="40" t="n">
        <v>28265.07</v>
      </c>
      <c r="C189" s="40" t="n">
        <v>10961.81</v>
      </c>
      <c r="D189" s="40" t="n">
        <v>45.15</v>
      </c>
      <c r="E189" s="40" t="n">
        <v>256.61</v>
      </c>
      <c r="F189" s="40" t="n">
        <v>20.88</v>
      </c>
      <c r="G189" s="40" t="n">
        <v>15.29</v>
      </c>
      <c r="H189" s="40" t="n">
        <v>21.22</v>
      </c>
      <c r="I189" s="41" t="n">
        <v>305</v>
      </c>
      <c r="J189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189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189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189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189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189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189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189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189" s="43">
        <f>(Dashboard!$C$13*tblHistory[[#This Row],[NDX S]]+Dashboard!$C$14*tblHistory[[#This Row],[SOX S]]+Dashboard!$C$15*tblHistory[[#This Row],[AIQ S]])/SUM(Dashboard!$C$13:$C$15)*100</f>
        <v/>
      </c>
      <c r="S189" s="43">
        <f>(Dashboard!$C$16*tblHistory[[#This Row],[ORCL S]]+Dashboard!$C$17*tblHistory[[#This Row],[CRWV S]])/SUM(Dashboard!$C$16:$C$17)*100</f>
        <v/>
      </c>
      <c r="T189" s="43">
        <f>(Dashboard!$C$18*tblHistory[[#This Row],[BIZD S]]+Dashboard!$C$19*tblHistory[[#This Row],[BKLN S]]+Dashboard!$C$20*tblHistory[[#This Row],[HY S]])/SUM(Dashboard!$C$18:$C$20)*100</f>
        <v/>
      </c>
      <c r="U189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189" s="43">
        <f>IFERROR(--(tblHistory[[#This Row],[Score]]&gt;=50),0)</f>
        <v/>
      </c>
      <c r="W189" s="43">
        <f>IFERROR(--AND(tblHistory[[#This Row],[Score]]&gt;=60,tblHistory[[#This Row],[BIZD S]]&gt;=0.8,tblHistory[[#This Row],[BKLN S]]&gt;=0.5),0)</f>
        <v/>
      </c>
      <c r="X189" s="43">
        <f>IFERROR(--AND(tblHistory[[#This Row],[Score]]&gt;=70,tblHistory[[#This Row],[SOX S]]&gt;=0.83,tblHistory[[#This Row],[AIQ S]]&gt;=0.8),0)</f>
        <v/>
      </c>
      <c r="Y189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189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189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189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189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190">
      <c r="A190" s="39" t="n">
        <v>46050</v>
      </c>
      <c r="B190" s="40" t="n">
        <v>27900.03</v>
      </c>
      <c r="C190" s="40" t="n">
        <v>10686.08</v>
      </c>
      <c r="D190" s="40" t="n">
        <v>45.75</v>
      </c>
      <c r="E190" s="40" t="n">
        <v>261.21</v>
      </c>
      <c r="F190" s="40" t="n">
        <v>19.63</v>
      </c>
      <c r="G190" s="40" t="n">
        <v>15.38</v>
      </c>
      <c r="H190" s="40" t="n">
        <v>21.16</v>
      </c>
      <c r="I190" s="41" t="n">
        <v>298</v>
      </c>
      <c r="J190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190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190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190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190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190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190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190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190" s="43">
        <f>(Dashboard!$C$13*tblHistory[[#This Row],[NDX S]]+Dashboard!$C$14*tblHistory[[#This Row],[SOX S]]+Dashboard!$C$15*tblHistory[[#This Row],[AIQ S]])/SUM(Dashboard!$C$13:$C$15)*100</f>
        <v/>
      </c>
      <c r="S190" s="43">
        <f>(Dashboard!$C$16*tblHistory[[#This Row],[ORCL S]]+Dashboard!$C$17*tblHistory[[#This Row],[CRWV S]])/SUM(Dashboard!$C$16:$C$17)*100</f>
        <v/>
      </c>
      <c r="T190" s="43">
        <f>(Dashboard!$C$18*tblHistory[[#This Row],[BIZD S]]+Dashboard!$C$19*tblHistory[[#This Row],[BKLN S]]+Dashboard!$C$20*tblHistory[[#This Row],[HY S]])/SUM(Dashboard!$C$18:$C$20)*100</f>
        <v/>
      </c>
      <c r="U190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190" s="43">
        <f>IFERROR(--(tblHistory[[#This Row],[Score]]&gt;=50),0)</f>
        <v/>
      </c>
      <c r="W190" s="43">
        <f>IFERROR(--AND(tblHistory[[#This Row],[Score]]&gt;=60,tblHistory[[#This Row],[BIZD S]]&gt;=0.8,tblHistory[[#This Row],[BKLN S]]&gt;=0.5),0)</f>
        <v/>
      </c>
      <c r="X190" s="43">
        <f>IFERROR(--AND(tblHistory[[#This Row],[Score]]&gt;=70,tblHistory[[#This Row],[SOX S]]&gt;=0.83,tblHistory[[#This Row],[AIQ S]]&gt;=0.8),0)</f>
        <v/>
      </c>
      <c r="Y190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190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190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190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190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191">
      <c r="A191" s="39" t="n">
        <v>46049</v>
      </c>
      <c r="B191" s="40" t="n">
        <v>28541.48</v>
      </c>
      <c r="C191" s="40" t="n">
        <v>10589.4</v>
      </c>
      <c r="D191" s="40" t="n">
        <v>45.38</v>
      </c>
      <c r="E191" s="40" t="n">
        <v>258.7</v>
      </c>
      <c r="F191" s="40" t="n">
        <v>20.16</v>
      </c>
      <c r="G191" s="40" t="n">
        <v>15.67</v>
      </c>
      <c r="H191" s="40" t="n">
        <v>21.15</v>
      </c>
      <c r="I191" s="41" t="n">
        <v>290</v>
      </c>
      <c r="J191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191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191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191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191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191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191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191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191" s="43">
        <f>(Dashboard!$C$13*tblHistory[[#This Row],[NDX S]]+Dashboard!$C$14*tblHistory[[#This Row],[SOX S]]+Dashboard!$C$15*tblHistory[[#This Row],[AIQ S]])/SUM(Dashboard!$C$13:$C$15)*100</f>
        <v/>
      </c>
      <c r="S191" s="43">
        <f>(Dashboard!$C$16*tblHistory[[#This Row],[ORCL S]]+Dashboard!$C$17*tblHistory[[#This Row],[CRWV S]])/SUM(Dashboard!$C$16:$C$17)*100</f>
        <v/>
      </c>
      <c r="T191" s="43">
        <f>(Dashboard!$C$18*tblHistory[[#This Row],[BIZD S]]+Dashboard!$C$19*tblHistory[[#This Row],[BKLN S]]+Dashboard!$C$20*tblHistory[[#This Row],[HY S]])/SUM(Dashboard!$C$18:$C$20)*100</f>
        <v/>
      </c>
      <c r="U191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191" s="43">
        <f>IFERROR(--(tblHistory[[#This Row],[Score]]&gt;=50),0)</f>
        <v/>
      </c>
      <c r="W191" s="43">
        <f>IFERROR(--AND(tblHistory[[#This Row],[Score]]&gt;=60,tblHistory[[#This Row],[BIZD S]]&gt;=0.8,tblHistory[[#This Row],[BKLN S]]&gt;=0.5),0)</f>
        <v/>
      </c>
      <c r="X191" s="43">
        <f>IFERROR(--AND(tblHistory[[#This Row],[Score]]&gt;=70,tblHistory[[#This Row],[SOX S]]&gt;=0.83,tblHistory[[#This Row],[AIQ S]]&gt;=0.8),0)</f>
        <v/>
      </c>
      <c r="Y191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191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191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191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191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192">
      <c r="A192" s="39" t="n">
        <v>46048</v>
      </c>
      <c r="B192" s="40" t="n">
        <v>28346.09</v>
      </c>
      <c r="C192" s="40" t="n">
        <v>10486.95</v>
      </c>
      <c r="D192" s="40" t="n">
        <v>45.42</v>
      </c>
      <c r="E192" s="40" t="n">
        <v>260.57</v>
      </c>
      <c r="F192" s="40" t="n">
        <v>18.6</v>
      </c>
      <c r="G192" s="40" t="n">
        <v>15.63</v>
      </c>
      <c r="H192" s="40" t="n">
        <v>21.17</v>
      </c>
      <c r="I192" s="41" t="n">
        <v>283</v>
      </c>
      <c r="J192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192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192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192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192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192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192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192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192" s="43">
        <f>(Dashboard!$C$13*tblHistory[[#This Row],[NDX S]]+Dashboard!$C$14*tblHistory[[#This Row],[SOX S]]+Dashboard!$C$15*tblHistory[[#This Row],[AIQ S]])/SUM(Dashboard!$C$13:$C$15)*100</f>
        <v/>
      </c>
      <c r="S192" s="43">
        <f>(Dashboard!$C$16*tblHistory[[#This Row],[ORCL S]]+Dashboard!$C$17*tblHistory[[#This Row],[CRWV S]])/SUM(Dashboard!$C$16:$C$17)*100</f>
        <v/>
      </c>
      <c r="T192" s="43">
        <f>(Dashboard!$C$18*tblHistory[[#This Row],[BIZD S]]+Dashboard!$C$19*tblHistory[[#This Row],[BKLN S]]+Dashboard!$C$20*tblHistory[[#This Row],[HY S]])/SUM(Dashboard!$C$18:$C$20)*100</f>
        <v/>
      </c>
      <c r="U192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192" s="43">
        <f>IFERROR(--(tblHistory[[#This Row],[Score]]&gt;=50),0)</f>
        <v/>
      </c>
      <c r="W192" s="43">
        <f>IFERROR(--AND(tblHistory[[#This Row],[Score]]&gt;=60,tblHistory[[#This Row],[BIZD S]]&gt;=0.8,tblHistory[[#This Row],[BKLN S]]&gt;=0.5),0)</f>
        <v/>
      </c>
      <c r="X192" s="43">
        <f>IFERROR(--AND(tblHistory[[#This Row],[Score]]&gt;=70,tblHistory[[#This Row],[SOX S]]&gt;=0.83,tblHistory[[#This Row],[AIQ S]]&gt;=0.8),0)</f>
        <v/>
      </c>
      <c r="Y192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192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192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192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192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193">
      <c r="A193" s="39" t="n">
        <v>46045</v>
      </c>
      <c r="B193" s="40" t="n">
        <v>28352.04</v>
      </c>
      <c r="C193" s="40" t="n">
        <v>10438.04</v>
      </c>
      <c r="D193" s="40" t="n">
        <v>46.24</v>
      </c>
      <c r="E193" s="40" t="n">
        <v>251.47</v>
      </c>
      <c r="F193" s="40" t="n">
        <v>17.85</v>
      </c>
      <c r="G193" s="40" t="n">
        <v>15.72</v>
      </c>
      <c r="H193" s="40" t="n">
        <v>21.22</v>
      </c>
      <c r="I193" s="41" t="n">
        <v>288</v>
      </c>
      <c r="J193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193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193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193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193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193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193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193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193" s="43">
        <f>(Dashboard!$C$13*tblHistory[[#This Row],[NDX S]]+Dashboard!$C$14*tblHistory[[#This Row],[SOX S]]+Dashboard!$C$15*tblHistory[[#This Row],[AIQ S]])/SUM(Dashboard!$C$13:$C$15)*100</f>
        <v/>
      </c>
      <c r="S193" s="43">
        <f>(Dashboard!$C$16*tblHistory[[#This Row],[ORCL S]]+Dashboard!$C$17*tblHistory[[#This Row],[CRWV S]])/SUM(Dashboard!$C$16:$C$17)*100</f>
        <v/>
      </c>
      <c r="T193" s="43">
        <f>(Dashboard!$C$18*tblHistory[[#This Row],[BIZD S]]+Dashboard!$C$19*tblHistory[[#This Row],[BKLN S]]+Dashboard!$C$20*tblHistory[[#This Row],[HY S]])/SUM(Dashboard!$C$18:$C$20)*100</f>
        <v/>
      </c>
      <c r="U193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193" s="43">
        <f>IFERROR(--(tblHistory[[#This Row],[Score]]&gt;=50),0)</f>
        <v/>
      </c>
      <c r="W193" s="43">
        <f>IFERROR(--AND(tblHistory[[#This Row],[Score]]&gt;=60,tblHistory[[#This Row],[BIZD S]]&gt;=0.8,tblHistory[[#This Row],[BKLN S]]&gt;=0.5),0)</f>
        <v/>
      </c>
      <c r="X193" s="43">
        <f>IFERROR(--AND(tblHistory[[#This Row],[Score]]&gt;=70,tblHistory[[#This Row],[SOX S]]&gt;=0.83,tblHistory[[#This Row],[AIQ S]]&gt;=0.8),0)</f>
        <v/>
      </c>
      <c r="Y193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193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193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193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193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194">
      <c r="A194" s="39" t="n">
        <v>46044</v>
      </c>
      <c r="B194" s="40" t="n">
        <v>28189.96</v>
      </c>
      <c r="C194" s="40" t="n">
        <v>10271.98</v>
      </c>
      <c r="D194" s="40" t="n">
        <v>46.46</v>
      </c>
      <c r="E194" s="40" t="n">
        <v>247.59</v>
      </c>
      <c r="F194" s="40" t="n">
        <v>17.6</v>
      </c>
      <c r="G194" s="40" t="n">
        <v>15.7</v>
      </c>
      <c r="H194" s="40" t="n">
        <v>21.22</v>
      </c>
      <c r="I194" s="41" t="n">
        <v>298</v>
      </c>
      <c r="J194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194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194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194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194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194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194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194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194" s="43">
        <f>(Dashboard!$C$13*tblHistory[[#This Row],[NDX S]]+Dashboard!$C$14*tblHistory[[#This Row],[SOX S]]+Dashboard!$C$15*tblHistory[[#This Row],[AIQ S]])/SUM(Dashboard!$C$13:$C$15)*100</f>
        <v/>
      </c>
      <c r="S194" s="43">
        <f>(Dashboard!$C$16*tblHistory[[#This Row],[ORCL S]]+Dashboard!$C$17*tblHistory[[#This Row],[CRWV S]])/SUM(Dashboard!$C$16:$C$17)*100</f>
        <v/>
      </c>
      <c r="T194" s="43">
        <f>(Dashboard!$C$18*tblHistory[[#This Row],[BIZD S]]+Dashboard!$C$19*tblHistory[[#This Row],[BKLN S]]+Dashboard!$C$20*tblHistory[[#This Row],[HY S]])/SUM(Dashboard!$C$18:$C$20)*100</f>
        <v/>
      </c>
      <c r="U194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194" s="43">
        <f>IFERROR(--(tblHistory[[#This Row],[Score]]&gt;=50),0)</f>
        <v/>
      </c>
      <c r="W194" s="43">
        <f>IFERROR(--AND(tblHistory[[#This Row],[Score]]&gt;=60,tblHistory[[#This Row],[BIZD S]]&gt;=0.8,tblHistory[[#This Row],[BKLN S]]&gt;=0.5),0)</f>
        <v/>
      </c>
      <c r="X194" s="43">
        <f>IFERROR(--AND(tblHistory[[#This Row],[Score]]&gt;=70,tblHistory[[#This Row],[SOX S]]&gt;=0.83,tblHistory[[#This Row],[AIQ S]]&gt;=0.8),0)</f>
        <v/>
      </c>
      <c r="Y194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194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194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194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194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195">
      <c r="A195" s="39" t="n">
        <v>46043</v>
      </c>
      <c r="B195" s="40" t="n">
        <v>27609.41</v>
      </c>
      <c r="C195" s="40" t="n">
        <v>10635.61</v>
      </c>
      <c r="D195" s="40" t="n">
        <v>47.37</v>
      </c>
      <c r="E195" s="40" t="n">
        <v>250.21</v>
      </c>
      <c r="F195" s="40" t="n">
        <v>17.83</v>
      </c>
      <c r="G195" s="40" t="n">
        <v>15.88</v>
      </c>
      <c r="H195" s="40" t="n">
        <v>21.28</v>
      </c>
      <c r="I195" s="41" t="n">
        <v>299</v>
      </c>
      <c r="J195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195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195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195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195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195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195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195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195" s="43">
        <f>(Dashboard!$C$13*tblHistory[[#This Row],[NDX S]]+Dashboard!$C$14*tblHistory[[#This Row],[SOX S]]+Dashboard!$C$15*tblHistory[[#This Row],[AIQ S]])/SUM(Dashboard!$C$13:$C$15)*100</f>
        <v/>
      </c>
      <c r="S195" s="43">
        <f>(Dashboard!$C$16*tblHistory[[#This Row],[ORCL S]]+Dashboard!$C$17*tblHistory[[#This Row],[CRWV S]])/SUM(Dashboard!$C$16:$C$17)*100</f>
        <v/>
      </c>
      <c r="T195" s="43">
        <f>(Dashboard!$C$18*tblHistory[[#This Row],[BIZD S]]+Dashboard!$C$19*tblHistory[[#This Row],[BKLN S]]+Dashboard!$C$20*tblHistory[[#This Row],[HY S]])/SUM(Dashboard!$C$18:$C$20)*100</f>
        <v/>
      </c>
      <c r="U195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195" s="43">
        <f>IFERROR(--(tblHistory[[#This Row],[Score]]&gt;=50),0)</f>
        <v/>
      </c>
      <c r="W195" s="43">
        <f>IFERROR(--AND(tblHistory[[#This Row],[Score]]&gt;=60,tblHistory[[#This Row],[BIZD S]]&gt;=0.8,tblHistory[[#This Row],[BKLN S]]&gt;=0.5),0)</f>
        <v/>
      </c>
      <c r="X195" s="43">
        <f>IFERROR(--AND(tblHistory[[#This Row],[Score]]&gt;=70,tblHistory[[#This Row],[SOX S]]&gt;=0.83,tblHistory[[#This Row],[AIQ S]]&gt;=0.8),0)</f>
        <v/>
      </c>
      <c r="Y195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195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195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195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195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196">
      <c r="A196" s="39" t="n">
        <v>46042</v>
      </c>
      <c r="B196" s="40" t="n">
        <v>27434.14</v>
      </c>
      <c r="C196" s="40" t="n">
        <v>10389.67</v>
      </c>
      <c r="D196" s="40" t="n">
        <v>46.86</v>
      </c>
      <c r="E196" s="40" t="n">
        <v>247.3</v>
      </c>
      <c r="F196" s="40" t="n">
        <v>18.08</v>
      </c>
      <c r="G196" s="40" t="n">
        <v>15.93</v>
      </c>
      <c r="H196" s="40" t="n">
        <v>21.27</v>
      </c>
      <c r="I196" s="41" t="n">
        <v>295</v>
      </c>
      <c r="J196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196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196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196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196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196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196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196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196" s="43">
        <f>(Dashboard!$C$13*tblHistory[[#This Row],[NDX S]]+Dashboard!$C$14*tblHistory[[#This Row],[SOX S]]+Dashboard!$C$15*tblHistory[[#This Row],[AIQ S]])/SUM(Dashboard!$C$13:$C$15)*100</f>
        <v/>
      </c>
      <c r="S196" s="43">
        <f>(Dashboard!$C$16*tblHistory[[#This Row],[ORCL S]]+Dashboard!$C$17*tblHistory[[#This Row],[CRWV S]])/SUM(Dashboard!$C$16:$C$17)*100</f>
        <v/>
      </c>
      <c r="T196" s="43">
        <f>(Dashboard!$C$18*tblHistory[[#This Row],[BIZD S]]+Dashboard!$C$19*tblHistory[[#This Row],[BKLN S]]+Dashboard!$C$20*tblHistory[[#This Row],[HY S]])/SUM(Dashboard!$C$18:$C$20)*100</f>
        <v/>
      </c>
      <c r="U196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196" s="43">
        <f>IFERROR(--(tblHistory[[#This Row],[Score]]&gt;=50),0)</f>
        <v/>
      </c>
      <c r="W196" s="43">
        <f>IFERROR(--AND(tblHistory[[#This Row],[Score]]&gt;=60,tblHistory[[#This Row],[BIZD S]]&gt;=0.8,tblHistory[[#This Row],[BKLN S]]&gt;=0.5),0)</f>
        <v/>
      </c>
      <c r="X196" s="43">
        <f>IFERROR(--AND(tblHistory[[#This Row],[Score]]&gt;=70,tblHistory[[#This Row],[SOX S]]&gt;=0.83,tblHistory[[#This Row],[AIQ S]]&gt;=0.8),0)</f>
        <v/>
      </c>
      <c r="Y196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196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196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196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196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197">
      <c r="A197" s="39" t="n">
        <v>46041</v>
      </c>
      <c r="B197" s="40" t="n">
        <v>27213.97</v>
      </c>
      <c r="C197" s="40" t="n">
        <v>10324.96</v>
      </c>
      <c r="D197" s="40" t="n">
        <v>46.2</v>
      </c>
      <c r="E197" s="40" t="n">
        <v>250.12</v>
      </c>
      <c r="F197" s="40" t="n">
        <v>18.69</v>
      </c>
      <c r="G197" s="40" t="n">
        <v>16.01</v>
      </c>
      <c r="H197" s="40" t="n">
        <v>21.18</v>
      </c>
      <c r="I197" s="41" t="n">
        <v>298</v>
      </c>
      <c r="J197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197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197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197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197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197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197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197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197" s="43">
        <f>(Dashboard!$C$13*tblHistory[[#This Row],[NDX S]]+Dashboard!$C$14*tblHistory[[#This Row],[SOX S]]+Dashboard!$C$15*tblHistory[[#This Row],[AIQ S]])/SUM(Dashboard!$C$13:$C$15)*100</f>
        <v/>
      </c>
      <c r="S197" s="43">
        <f>(Dashboard!$C$16*tblHistory[[#This Row],[ORCL S]]+Dashboard!$C$17*tblHistory[[#This Row],[CRWV S]])/SUM(Dashboard!$C$16:$C$17)*100</f>
        <v/>
      </c>
      <c r="T197" s="43">
        <f>(Dashboard!$C$18*tblHistory[[#This Row],[BIZD S]]+Dashboard!$C$19*tblHistory[[#This Row],[BKLN S]]+Dashboard!$C$20*tblHistory[[#This Row],[HY S]])/SUM(Dashboard!$C$18:$C$20)*100</f>
        <v/>
      </c>
      <c r="U197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197" s="43">
        <f>IFERROR(--(tblHistory[[#This Row],[Score]]&gt;=50),0)</f>
        <v/>
      </c>
      <c r="W197" s="43">
        <f>IFERROR(--AND(tblHistory[[#This Row],[Score]]&gt;=60,tblHistory[[#This Row],[BIZD S]]&gt;=0.8,tblHistory[[#This Row],[BKLN S]]&gt;=0.5),0)</f>
        <v/>
      </c>
      <c r="X197" s="43">
        <f>IFERROR(--AND(tblHistory[[#This Row],[Score]]&gt;=70,tblHistory[[#This Row],[SOX S]]&gt;=0.83,tblHistory[[#This Row],[AIQ S]]&gt;=0.8),0)</f>
        <v/>
      </c>
      <c r="Y197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197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197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197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197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198">
      <c r="A198" s="39" t="n">
        <v>46038</v>
      </c>
      <c r="B198" s="40" t="n">
        <v>28057.21</v>
      </c>
      <c r="C198" s="40" t="n">
        <v>10681.98</v>
      </c>
      <c r="D198" s="40" t="n">
        <v>46.44</v>
      </c>
      <c r="E198" s="40" t="n">
        <v>245.16</v>
      </c>
      <c r="F198" s="40" t="n">
        <v>17.86</v>
      </c>
      <c r="G198" s="40" t="n">
        <v>16.01</v>
      </c>
      <c r="H198" s="40" t="n">
        <v>21.18</v>
      </c>
      <c r="I198" s="41" t="n">
        <v>298</v>
      </c>
      <c r="J198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198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198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198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198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198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198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198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198" s="43">
        <f>(Dashboard!$C$13*tblHistory[[#This Row],[NDX S]]+Dashboard!$C$14*tblHistory[[#This Row],[SOX S]]+Dashboard!$C$15*tblHistory[[#This Row],[AIQ S]])/SUM(Dashboard!$C$13:$C$15)*100</f>
        <v/>
      </c>
      <c r="S198" s="43">
        <f>(Dashboard!$C$16*tblHistory[[#This Row],[ORCL S]]+Dashboard!$C$17*tblHistory[[#This Row],[CRWV S]])/SUM(Dashboard!$C$16:$C$17)*100</f>
        <v/>
      </c>
      <c r="T198" s="43">
        <f>(Dashboard!$C$18*tblHistory[[#This Row],[BIZD S]]+Dashboard!$C$19*tblHistory[[#This Row],[BKLN S]]+Dashboard!$C$20*tblHistory[[#This Row],[HY S]])/SUM(Dashboard!$C$18:$C$20)*100</f>
        <v/>
      </c>
      <c r="U198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198" s="43">
        <f>IFERROR(--(tblHistory[[#This Row],[Score]]&gt;=50),0)</f>
        <v/>
      </c>
      <c r="W198" s="43">
        <f>IFERROR(--AND(tblHistory[[#This Row],[Score]]&gt;=60,tblHistory[[#This Row],[BIZD S]]&gt;=0.8,tblHistory[[#This Row],[BKLN S]]&gt;=0.5),0)</f>
        <v/>
      </c>
      <c r="X198" s="43">
        <f>IFERROR(--AND(tblHistory[[#This Row],[Score]]&gt;=70,tblHistory[[#This Row],[SOX S]]&gt;=0.83,tblHistory[[#This Row],[AIQ S]]&gt;=0.8),0)</f>
        <v/>
      </c>
      <c r="Y198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198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198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198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198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199">
      <c r="A199" s="39" t="n">
        <v>46037</v>
      </c>
      <c r="B199" s="40" t="n">
        <v>27826.72</v>
      </c>
      <c r="C199" s="40" t="n">
        <v>10679.86</v>
      </c>
      <c r="D199" s="40" t="n">
        <v>45.73</v>
      </c>
      <c r="E199" s="40" t="n">
        <v>244.93</v>
      </c>
      <c r="F199" s="40" t="n">
        <v>18.72</v>
      </c>
      <c r="G199" s="40" t="n">
        <v>16.07</v>
      </c>
      <c r="H199" s="40" t="n">
        <v>21.26</v>
      </c>
      <c r="I199" s="41" t="n">
        <v>301</v>
      </c>
      <c r="J199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199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199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199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199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199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199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199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199" s="43">
        <f>(Dashboard!$C$13*tblHistory[[#This Row],[NDX S]]+Dashboard!$C$14*tblHistory[[#This Row],[SOX S]]+Dashboard!$C$15*tblHistory[[#This Row],[AIQ S]])/SUM(Dashboard!$C$13:$C$15)*100</f>
        <v/>
      </c>
      <c r="S199" s="43">
        <f>(Dashboard!$C$16*tblHistory[[#This Row],[ORCL S]]+Dashboard!$C$17*tblHistory[[#This Row],[CRWV S]])/SUM(Dashboard!$C$16:$C$17)*100</f>
        <v/>
      </c>
      <c r="T199" s="43">
        <f>(Dashboard!$C$18*tblHistory[[#This Row],[BIZD S]]+Dashboard!$C$19*tblHistory[[#This Row],[BKLN S]]+Dashboard!$C$20*tblHistory[[#This Row],[HY S]])/SUM(Dashboard!$C$18:$C$20)*100</f>
        <v/>
      </c>
      <c r="U199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199" s="43">
        <f>IFERROR(--(tblHistory[[#This Row],[Score]]&gt;=50),0)</f>
        <v/>
      </c>
      <c r="W199" s="43">
        <f>IFERROR(--AND(tblHistory[[#This Row],[Score]]&gt;=60,tblHistory[[#This Row],[BIZD S]]&gt;=0.8,tblHistory[[#This Row],[BKLN S]]&gt;=0.5),0)</f>
        <v/>
      </c>
      <c r="X199" s="43">
        <f>IFERROR(--AND(tblHistory[[#This Row],[Score]]&gt;=70,tblHistory[[#This Row],[SOX S]]&gt;=0.83,tblHistory[[#This Row],[AIQ S]]&gt;=0.8),0)</f>
        <v/>
      </c>
      <c r="Y199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199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199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199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199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200">
      <c r="A200" s="39" t="n">
        <v>46036</v>
      </c>
      <c r="B200" s="40" t="n">
        <v>27432.22</v>
      </c>
      <c r="C200" s="40" t="n">
        <v>10578.73</v>
      </c>
      <c r="D200" s="40" t="n">
        <v>44.84</v>
      </c>
      <c r="E200" s="40" t="n">
        <v>245.6</v>
      </c>
      <c r="F200" s="40" t="n">
        <v>17.31</v>
      </c>
      <c r="G200" s="40" t="n">
        <v>16.15</v>
      </c>
      <c r="H200" s="40" t="n">
        <v>21.18</v>
      </c>
      <c r="I200" s="41" t="n"/>
      <c r="J200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200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200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200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200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200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200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200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200" s="43">
        <f>(Dashboard!$C$13*tblHistory[[#This Row],[NDX S]]+Dashboard!$C$14*tblHistory[[#This Row],[SOX S]]+Dashboard!$C$15*tblHistory[[#This Row],[AIQ S]])/SUM(Dashboard!$C$13:$C$15)*100</f>
        <v/>
      </c>
      <c r="S200" s="43">
        <f>(Dashboard!$C$16*tblHistory[[#This Row],[ORCL S]]+Dashboard!$C$17*tblHistory[[#This Row],[CRWV S]])/SUM(Dashboard!$C$16:$C$17)*100</f>
        <v/>
      </c>
      <c r="T200" s="43">
        <f>(Dashboard!$C$18*tblHistory[[#This Row],[BIZD S]]+Dashboard!$C$19*tblHistory[[#This Row],[BKLN S]]+Dashboard!$C$20*tblHistory[[#This Row],[HY S]])/SUM(Dashboard!$C$18:$C$20)*100</f>
        <v/>
      </c>
      <c r="U200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200" s="43">
        <f>IFERROR(--(tblHistory[[#This Row],[Score]]&gt;=50),0)</f>
        <v/>
      </c>
      <c r="W200" s="43">
        <f>IFERROR(--AND(tblHistory[[#This Row],[Score]]&gt;=60,tblHistory[[#This Row],[BIZD S]]&gt;=0.8,tblHistory[[#This Row],[BKLN S]]&gt;=0.5),0)</f>
        <v/>
      </c>
      <c r="X200" s="43">
        <f>IFERROR(--AND(tblHistory[[#This Row],[Score]]&gt;=70,tblHistory[[#This Row],[SOX S]]&gt;=0.83,tblHistory[[#This Row],[AIQ S]]&gt;=0.8),0)</f>
        <v/>
      </c>
      <c r="Y200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200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200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200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200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201">
      <c r="A201" s="39" t="n">
        <v>46035</v>
      </c>
      <c r="B201" s="40" t="n">
        <v>26552.34</v>
      </c>
      <c r="C201" s="40" t="n">
        <v>10847.75</v>
      </c>
      <c r="D201" s="40" t="n">
        <v>44.27</v>
      </c>
      <c r="E201" s="40" t="n">
        <v>253.76</v>
      </c>
      <c r="F201" s="40" t="n">
        <v>17.44</v>
      </c>
      <c r="G201" s="40" t="n">
        <v>16.21</v>
      </c>
      <c r="H201" s="40" t="n">
        <v>21.18</v>
      </c>
      <c r="I201" s="41" t="n">
        <v>304</v>
      </c>
      <c r="J201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201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201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201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201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201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201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201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201" s="43">
        <f>(Dashboard!$C$13*tblHistory[[#This Row],[NDX S]]+Dashboard!$C$14*tblHistory[[#This Row],[SOX S]]+Dashboard!$C$15*tblHistory[[#This Row],[AIQ S]])/SUM(Dashboard!$C$13:$C$15)*100</f>
        <v/>
      </c>
      <c r="S201" s="43">
        <f>(Dashboard!$C$16*tblHistory[[#This Row],[ORCL S]]+Dashboard!$C$17*tblHistory[[#This Row],[CRWV S]])/SUM(Dashboard!$C$16:$C$17)*100</f>
        <v/>
      </c>
      <c r="T201" s="43">
        <f>(Dashboard!$C$18*tblHistory[[#This Row],[BIZD S]]+Dashboard!$C$19*tblHistory[[#This Row],[BKLN S]]+Dashboard!$C$20*tblHistory[[#This Row],[HY S]])/SUM(Dashboard!$C$18:$C$20)*100</f>
        <v/>
      </c>
      <c r="U201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201" s="43">
        <f>IFERROR(--(tblHistory[[#This Row],[Score]]&gt;=50),0)</f>
        <v/>
      </c>
      <c r="W201" s="43">
        <f>IFERROR(--AND(tblHistory[[#This Row],[Score]]&gt;=60,tblHistory[[#This Row],[BIZD S]]&gt;=0.8,tblHistory[[#This Row],[BKLN S]]&gt;=0.5),0)</f>
        <v/>
      </c>
      <c r="X201" s="43">
        <f>IFERROR(--AND(tblHistory[[#This Row],[Score]]&gt;=70,tblHistory[[#This Row],[SOX S]]&gt;=0.83,tblHistory[[#This Row],[AIQ S]]&gt;=0.8),0)</f>
        <v/>
      </c>
      <c r="Y201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201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201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201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201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202">
      <c r="A202" s="39" t="n">
        <v>46034</v>
      </c>
      <c r="B202" s="40" t="n">
        <v>26805.77</v>
      </c>
      <c r="C202" s="40" t="n">
        <v>10733.07</v>
      </c>
      <c r="D202" s="40" t="n">
        <v>44.07</v>
      </c>
      <c r="E202" s="40" t="n">
        <v>248.08</v>
      </c>
      <c r="F202" s="40" t="n">
        <v>17.49</v>
      </c>
      <c r="G202" s="40" t="n">
        <v>16.36</v>
      </c>
      <c r="H202" s="40" t="n">
        <v>21.15</v>
      </c>
      <c r="I202" s="41" t="n"/>
      <c r="J202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202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202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202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202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202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202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202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202" s="43">
        <f>(Dashboard!$C$13*tblHistory[[#This Row],[NDX S]]+Dashboard!$C$14*tblHistory[[#This Row],[SOX S]]+Dashboard!$C$15*tblHistory[[#This Row],[AIQ S]])/SUM(Dashboard!$C$13:$C$15)*100</f>
        <v/>
      </c>
      <c r="S202" s="43">
        <f>(Dashboard!$C$16*tblHistory[[#This Row],[ORCL S]]+Dashboard!$C$17*tblHistory[[#This Row],[CRWV S]])/SUM(Dashboard!$C$16:$C$17)*100</f>
        <v/>
      </c>
      <c r="T202" s="43">
        <f>(Dashboard!$C$18*tblHistory[[#This Row],[BIZD S]]+Dashboard!$C$19*tblHistory[[#This Row],[BKLN S]]+Dashboard!$C$20*tblHistory[[#This Row],[HY S]])/SUM(Dashboard!$C$18:$C$20)*100</f>
        <v/>
      </c>
      <c r="U202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202" s="43">
        <f>IFERROR(--(tblHistory[[#This Row],[Score]]&gt;=50),0)</f>
        <v/>
      </c>
      <c r="W202" s="43">
        <f>IFERROR(--AND(tblHistory[[#This Row],[Score]]&gt;=60,tblHistory[[#This Row],[BIZD S]]&gt;=0.8,tblHistory[[#This Row],[BKLN S]]&gt;=0.5),0)</f>
        <v/>
      </c>
      <c r="X202" s="43">
        <f>IFERROR(--AND(tblHistory[[#This Row],[Score]]&gt;=70,tblHistory[[#This Row],[SOX S]]&gt;=0.83,tblHistory[[#This Row],[AIQ S]]&gt;=0.8),0)</f>
        <v/>
      </c>
      <c r="Y202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202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202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202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202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203">
      <c r="A203" s="39" t="n">
        <v>46031</v>
      </c>
      <c r="B203" s="40" t="n">
        <v>27065.33</v>
      </c>
      <c r="C203" s="40" t="n">
        <v>10732.36</v>
      </c>
      <c r="D203" s="40" t="n">
        <v>43.36</v>
      </c>
      <c r="E203" s="40" t="n">
        <v>252.08</v>
      </c>
      <c r="F203" s="40" t="n">
        <v>18.46</v>
      </c>
      <c r="G203" s="40" t="n">
        <v>16.4</v>
      </c>
      <c r="H203" s="40" t="n">
        <v>21.15</v>
      </c>
      <c r="I203" s="41" t="n">
        <v>305</v>
      </c>
      <c r="J203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203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203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203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203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203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203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203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203" s="43">
        <f>(Dashboard!$C$13*tblHistory[[#This Row],[NDX S]]+Dashboard!$C$14*tblHistory[[#This Row],[SOX S]]+Dashboard!$C$15*tblHistory[[#This Row],[AIQ S]])/SUM(Dashboard!$C$13:$C$15)*100</f>
        <v/>
      </c>
      <c r="S203" s="43">
        <f>(Dashboard!$C$16*tblHistory[[#This Row],[ORCL S]]+Dashboard!$C$17*tblHistory[[#This Row],[CRWV S]])/SUM(Dashboard!$C$16:$C$17)*100</f>
        <v/>
      </c>
      <c r="T203" s="43">
        <f>(Dashboard!$C$18*tblHistory[[#This Row],[BIZD S]]+Dashboard!$C$19*tblHistory[[#This Row],[BKLN S]]+Dashboard!$C$20*tblHistory[[#This Row],[HY S]])/SUM(Dashboard!$C$18:$C$20)*100</f>
        <v/>
      </c>
      <c r="U203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203" s="43">
        <f>IFERROR(--(tblHistory[[#This Row],[Score]]&gt;=50),0)</f>
        <v/>
      </c>
      <c r="W203" s="43">
        <f>IFERROR(--AND(tblHistory[[#This Row],[Score]]&gt;=60,tblHistory[[#This Row],[BIZD S]]&gt;=0.8,tblHistory[[#This Row],[BKLN S]]&gt;=0.5),0)</f>
        <v/>
      </c>
      <c r="X203" s="43">
        <f>IFERROR(--AND(tblHistory[[#This Row],[Score]]&gt;=70,tblHistory[[#This Row],[SOX S]]&gt;=0.83,tblHistory[[#This Row],[AIQ S]]&gt;=0.8),0)</f>
        <v/>
      </c>
      <c r="Y203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203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203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203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203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204">
      <c r="A204" s="39" t="n">
        <v>46030</v>
      </c>
      <c r="B204" s="40" t="n">
        <v>27016.09</v>
      </c>
      <c r="C204" s="40" t="n">
        <v>10873.55</v>
      </c>
      <c r="D204" s="40" t="n">
        <v>43.23</v>
      </c>
      <c r="E204" s="40" t="n">
        <v>250.19</v>
      </c>
      <c r="F204" s="40" t="n">
        <v>18.73</v>
      </c>
      <c r="G204" s="40" t="n">
        <v>16.54</v>
      </c>
      <c r="H204" s="40" t="n">
        <v>21.11</v>
      </c>
      <c r="I204" s="41" t="n">
        <v>311</v>
      </c>
      <c r="J204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204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204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204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204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204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204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204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204" s="43">
        <f>(Dashboard!$C$13*tblHistory[[#This Row],[NDX S]]+Dashboard!$C$14*tblHistory[[#This Row],[SOX S]]+Dashboard!$C$15*tblHistory[[#This Row],[AIQ S]])/SUM(Dashboard!$C$13:$C$15)*100</f>
        <v/>
      </c>
      <c r="S204" s="43">
        <f>(Dashboard!$C$16*tblHistory[[#This Row],[ORCL S]]+Dashboard!$C$17*tblHistory[[#This Row],[CRWV S]])/SUM(Dashboard!$C$16:$C$17)*100</f>
        <v/>
      </c>
      <c r="T204" s="43">
        <f>(Dashboard!$C$18*tblHistory[[#This Row],[BIZD S]]+Dashboard!$C$19*tblHistory[[#This Row],[BKLN S]]+Dashboard!$C$20*tblHistory[[#This Row],[HY S]])/SUM(Dashboard!$C$18:$C$20)*100</f>
        <v/>
      </c>
      <c r="U204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204" s="43">
        <f>IFERROR(--(tblHistory[[#This Row],[Score]]&gt;=50),0)</f>
        <v/>
      </c>
      <c r="W204" s="43">
        <f>IFERROR(--AND(tblHistory[[#This Row],[Score]]&gt;=60,tblHistory[[#This Row],[BIZD S]]&gt;=0.8,tblHistory[[#This Row],[BKLN S]]&gt;=0.5),0)</f>
        <v/>
      </c>
      <c r="X204" s="43">
        <f>IFERROR(--AND(tblHistory[[#This Row],[Score]]&gt;=70,tblHistory[[#This Row],[SOX S]]&gt;=0.83,tblHistory[[#This Row],[AIQ S]]&gt;=0.8),0)</f>
        <v/>
      </c>
      <c r="Y204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204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204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204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204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205">
      <c r="A205" s="39" t="n">
        <v>46029</v>
      </c>
      <c r="B205" s="40" t="n">
        <v>26712.52</v>
      </c>
      <c r="C205" s="40" t="n">
        <v>10480.81</v>
      </c>
      <c r="D205" s="40" t="n">
        <v>44.75</v>
      </c>
      <c r="E205" s="40" t="n">
        <v>251.66</v>
      </c>
      <c r="F205" s="40" t="n">
        <v>18.4</v>
      </c>
      <c r="G205" s="40" t="n">
        <v>16.65</v>
      </c>
      <c r="H205" s="40" t="n">
        <v>21.1</v>
      </c>
      <c r="I205" s="41" t="n">
        <v>312</v>
      </c>
      <c r="J205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205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205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205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205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205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205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205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205" s="43">
        <f>(Dashboard!$C$13*tblHistory[[#This Row],[NDX S]]+Dashboard!$C$14*tblHistory[[#This Row],[SOX S]]+Dashboard!$C$15*tblHistory[[#This Row],[AIQ S]])/SUM(Dashboard!$C$13:$C$15)*100</f>
        <v/>
      </c>
      <c r="S205" s="43">
        <f>(Dashboard!$C$16*tblHistory[[#This Row],[ORCL S]]+Dashboard!$C$17*tblHistory[[#This Row],[CRWV S]])/SUM(Dashboard!$C$16:$C$17)*100</f>
        <v/>
      </c>
      <c r="T205" s="43">
        <f>(Dashboard!$C$18*tblHistory[[#This Row],[BIZD S]]+Dashboard!$C$19*tblHistory[[#This Row],[BKLN S]]+Dashboard!$C$20*tblHistory[[#This Row],[HY S]])/SUM(Dashboard!$C$18:$C$20)*100</f>
        <v/>
      </c>
      <c r="U205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205" s="43">
        <f>IFERROR(--(tblHistory[[#This Row],[Score]]&gt;=50),0)</f>
        <v/>
      </c>
      <c r="W205" s="43">
        <f>IFERROR(--AND(tblHistory[[#This Row],[Score]]&gt;=60,tblHistory[[#This Row],[BIZD S]]&gt;=0.8,tblHistory[[#This Row],[BKLN S]]&gt;=0.5),0)</f>
        <v/>
      </c>
      <c r="X205" s="43">
        <f>IFERROR(--AND(tblHistory[[#This Row],[Score]]&gt;=70,tblHistory[[#This Row],[SOX S]]&gt;=0.83,tblHistory[[#This Row],[AIQ S]]&gt;=0.8),0)</f>
        <v/>
      </c>
      <c r="Y205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205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205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205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205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206">
      <c r="A206" s="39" t="n">
        <v>46028</v>
      </c>
      <c r="B206" s="40" t="n">
        <v>26811.75</v>
      </c>
      <c r="C206" s="40" t="n">
        <v>10979.39</v>
      </c>
      <c r="D206" s="40" t="n">
        <v>45.3</v>
      </c>
      <c r="E206" s="40" t="n">
        <v>251.76</v>
      </c>
      <c r="F206" s="40" t="n">
        <v>18.72</v>
      </c>
      <c r="G206" s="40" t="n">
        <v>16.6</v>
      </c>
      <c r="H206" s="40" t="n">
        <v>21.1</v>
      </c>
      <c r="I206" s="41" t="n">
        <v>319</v>
      </c>
      <c r="J206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206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206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206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206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206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206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206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206" s="43">
        <f>(Dashboard!$C$13*tblHistory[[#This Row],[NDX S]]+Dashboard!$C$14*tblHistory[[#This Row],[SOX S]]+Dashboard!$C$15*tblHistory[[#This Row],[AIQ S]])/SUM(Dashboard!$C$13:$C$15)*100</f>
        <v/>
      </c>
      <c r="S206" s="43">
        <f>(Dashboard!$C$16*tblHistory[[#This Row],[ORCL S]]+Dashboard!$C$17*tblHistory[[#This Row],[CRWV S]])/SUM(Dashboard!$C$16:$C$17)*100</f>
        <v/>
      </c>
      <c r="T206" s="43">
        <f>(Dashboard!$C$18*tblHistory[[#This Row],[BIZD S]]+Dashboard!$C$19*tblHistory[[#This Row],[BKLN S]]+Dashboard!$C$20*tblHistory[[#This Row],[HY S]])/SUM(Dashboard!$C$18:$C$20)*100</f>
        <v/>
      </c>
      <c r="U206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206" s="43">
        <f>IFERROR(--(tblHistory[[#This Row],[Score]]&gt;=50),0)</f>
        <v/>
      </c>
      <c r="W206" s="43">
        <f>IFERROR(--AND(tblHistory[[#This Row],[Score]]&gt;=60,tblHistory[[#This Row],[BIZD S]]&gt;=0.8,tblHistory[[#This Row],[BKLN S]]&gt;=0.5),0)</f>
        <v/>
      </c>
      <c r="X206" s="43">
        <f>IFERROR(--AND(tblHistory[[#This Row],[Score]]&gt;=70,tblHistory[[#This Row],[SOX S]]&gt;=0.83,tblHistory[[#This Row],[AIQ S]]&gt;=0.8),0)</f>
        <v/>
      </c>
      <c r="Y206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206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206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206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206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207">
      <c r="A207" s="39" t="n">
        <v>46027</v>
      </c>
      <c r="B207" s="40" t="n">
        <v>27124.38</v>
      </c>
      <c r="C207" s="40" t="n">
        <v>11059.57</v>
      </c>
      <c r="D207" s="40" t="n">
        <v>45.17</v>
      </c>
      <c r="E207" s="40" t="n">
        <v>256.73</v>
      </c>
      <c r="F207" s="40" t="n">
        <v>19.14</v>
      </c>
      <c r="G207" s="40" t="n">
        <v>16.65</v>
      </c>
      <c r="H207" s="40" t="n">
        <v>21.13</v>
      </c>
      <c r="I207" s="41" t="n">
        <v>309</v>
      </c>
      <c r="J207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207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207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207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207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207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207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207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207" s="43">
        <f>(Dashboard!$C$13*tblHistory[[#This Row],[NDX S]]+Dashboard!$C$14*tblHistory[[#This Row],[SOX S]]+Dashboard!$C$15*tblHistory[[#This Row],[AIQ S]])/SUM(Dashboard!$C$13:$C$15)*100</f>
        <v/>
      </c>
      <c r="S207" s="43">
        <f>(Dashboard!$C$16*tblHistory[[#This Row],[ORCL S]]+Dashboard!$C$17*tblHistory[[#This Row],[CRWV S]])/SUM(Dashboard!$C$16:$C$17)*100</f>
        <v/>
      </c>
      <c r="T207" s="43">
        <f>(Dashboard!$C$18*tblHistory[[#This Row],[BIZD S]]+Dashboard!$C$19*tblHistory[[#This Row],[BKLN S]]+Dashboard!$C$20*tblHistory[[#This Row],[HY S]])/SUM(Dashboard!$C$18:$C$20)*100</f>
        <v/>
      </c>
      <c r="U207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207" s="43">
        <f>IFERROR(--(tblHistory[[#This Row],[Score]]&gt;=50),0)</f>
        <v/>
      </c>
      <c r="W207" s="43">
        <f>IFERROR(--AND(tblHistory[[#This Row],[Score]]&gt;=60,tblHistory[[#This Row],[BIZD S]]&gt;=0.8,tblHistory[[#This Row],[BKLN S]]&gt;=0.5),0)</f>
        <v/>
      </c>
      <c r="X207" s="43">
        <f>IFERROR(--AND(tblHistory[[#This Row],[Score]]&gt;=70,tblHistory[[#This Row],[SOX S]]&gt;=0.83,tblHistory[[#This Row],[AIQ S]]&gt;=0.8),0)</f>
        <v/>
      </c>
      <c r="Y207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207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207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207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207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208">
      <c r="A208" s="39" t="n">
        <v>46024</v>
      </c>
      <c r="B208" s="40" t="n">
        <v>27171.73</v>
      </c>
      <c r="C208" s="40" t="n">
        <v>11217.58</v>
      </c>
      <c r="D208" s="40" t="n">
        <v>44.37</v>
      </c>
      <c r="E208" s="40" t="n">
        <v>257.1</v>
      </c>
      <c r="F208" s="40" t="n">
        <v>18.63</v>
      </c>
      <c r="G208" s="40" t="n">
        <v>16.65</v>
      </c>
      <c r="H208" s="40" t="n">
        <v>21.09</v>
      </c>
      <c r="I208" s="41" t="n">
        <v>308</v>
      </c>
      <c r="J208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208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208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208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208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208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208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208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208" s="43">
        <f>(Dashboard!$C$13*tblHistory[[#This Row],[NDX S]]+Dashboard!$C$14*tblHistory[[#This Row],[SOX S]]+Dashboard!$C$15*tblHistory[[#This Row],[AIQ S]])/SUM(Dashboard!$C$13:$C$15)*100</f>
        <v/>
      </c>
      <c r="S208" s="43">
        <f>(Dashboard!$C$16*tblHistory[[#This Row],[ORCL S]]+Dashboard!$C$17*tblHistory[[#This Row],[CRWV S]])/SUM(Dashboard!$C$16:$C$17)*100</f>
        <v/>
      </c>
      <c r="T208" s="43">
        <f>(Dashboard!$C$18*tblHistory[[#This Row],[BIZD S]]+Dashboard!$C$19*tblHistory[[#This Row],[BKLN S]]+Dashboard!$C$20*tblHistory[[#This Row],[HY S]])/SUM(Dashboard!$C$18:$C$20)*100</f>
        <v/>
      </c>
      <c r="U208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208" s="43">
        <f>IFERROR(--(tblHistory[[#This Row],[Score]]&gt;=50),0)</f>
        <v/>
      </c>
      <c r="W208" s="43">
        <f>IFERROR(--AND(tblHistory[[#This Row],[Score]]&gt;=60,tblHistory[[#This Row],[BIZD S]]&gt;=0.8,tblHistory[[#This Row],[BKLN S]]&gt;=0.5),0)</f>
        <v/>
      </c>
      <c r="X208" s="43">
        <f>IFERROR(--AND(tblHistory[[#This Row],[Score]]&gt;=70,tblHistory[[#This Row],[SOX S]]&gt;=0.83,tblHistory[[#This Row],[AIQ S]]&gt;=0.8),0)</f>
        <v/>
      </c>
      <c r="Y208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208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208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208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208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209">
      <c r="A209" s="39" t="n">
        <v>46023</v>
      </c>
      <c r="B209" s="40" t="n">
        <v>27166.69</v>
      </c>
      <c r="C209" s="40" t="n">
        <v>10852.43</v>
      </c>
      <c r="D209" s="40" t="n">
        <v>44</v>
      </c>
      <c r="E209" s="40" t="n">
        <v>255.09</v>
      </c>
      <c r="F209" s="40" t="n">
        <v>19.03</v>
      </c>
      <c r="G209" s="40" t="n">
        <v>16.59</v>
      </c>
      <c r="H209" s="40" t="n">
        <v>21.07</v>
      </c>
      <c r="I209" s="41" t="n">
        <v>312</v>
      </c>
      <c r="J209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209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209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209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209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209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209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209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209" s="43">
        <f>(Dashboard!$C$13*tblHistory[[#This Row],[NDX S]]+Dashboard!$C$14*tblHistory[[#This Row],[SOX S]]+Dashboard!$C$15*tblHistory[[#This Row],[AIQ S]])/SUM(Dashboard!$C$13:$C$15)*100</f>
        <v/>
      </c>
      <c r="S209" s="43">
        <f>(Dashboard!$C$16*tblHistory[[#This Row],[ORCL S]]+Dashboard!$C$17*tblHistory[[#This Row],[CRWV S]])/SUM(Dashboard!$C$16:$C$17)*100</f>
        <v/>
      </c>
      <c r="T209" s="43">
        <f>(Dashboard!$C$18*tblHistory[[#This Row],[BIZD S]]+Dashboard!$C$19*tblHistory[[#This Row],[BKLN S]]+Dashboard!$C$20*tblHistory[[#This Row],[HY S]])/SUM(Dashboard!$C$18:$C$20)*100</f>
        <v/>
      </c>
      <c r="U209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209" s="43">
        <f>IFERROR(--(tblHistory[[#This Row],[Score]]&gt;=50),0)</f>
        <v/>
      </c>
      <c r="W209" s="43">
        <f>IFERROR(--AND(tblHistory[[#This Row],[Score]]&gt;=60,tblHistory[[#This Row],[BIZD S]]&gt;=0.8,tblHistory[[#This Row],[BKLN S]]&gt;=0.5),0)</f>
        <v/>
      </c>
      <c r="X209" s="43">
        <f>IFERROR(--AND(tblHistory[[#This Row],[Score]]&gt;=70,tblHistory[[#This Row],[SOX S]]&gt;=0.83,tblHistory[[#This Row],[AIQ S]]&gt;=0.8),0)</f>
        <v/>
      </c>
      <c r="Y209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209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209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209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209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210">
      <c r="A210" s="39" t="n">
        <v>46022</v>
      </c>
      <c r="B210" s="40" t="n">
        <v>26882.81</v>
      </c>
      <c r="C210" s="40" t="n">
        <v>10603.37</v>
      </c>
      <c r="D210" s="40" t="n">
        <v>45.16</v>
      </c>
      <c r="E210" s="40" t="n">
        <v>254.33</v>
      </c>
      <c r="F210" s="40" t="n">
        <v>19.67</v>
      </c>
      <c r="G210" s="40" t="n">
        <v>16.55</v>
      </c>
      <c r="H210" s="40" t="n">
        <v>21.04</v>
      </c>
      <c r="I210" s="41" t="n">
        <v>307</v>
      </c>
      <c r="J210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210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210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210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210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210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210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210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210" s="43">
        <f>(Dashboard!$C$13*tblHistory[[#This Row],[NDX S]]+Dashboard!$C$14*tblHistory[[#This Row],[SOX S]]+Dashboard!$C$15*tblHistory[[#This Row],[AIQ S]])/SUM(Dashboard!$C$13:$C$15)*100</f>
        <v/>
      </c>
      <c r="S210" s="43">
        <f>(Dashboard!$C$16*tblHistory[[#This Row],[ORCL S]]+Dashboard!$C$17*tblHistory[[#This Row],[CRWV S]])/SUM(Dashboard!$C$16:$C$17)*100</f>
        <v/>
      </c>
      <c r="T210" s="43">
        <f>(Dashboard!$C$18*tblHistory[[#This Row],[BIZD S]]+Dashboard!$C$19*tblHistory[[#This Row],[BKLN S]]+Dashboard!$C$20*tblHistory[[#This Row],[HY S]])/SUM(Dashboard!$C$18:$C$20)*100</f>
        <v/>
      </c>
      <c r="U210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210" s="43">
        <f>IFERROR(--(tblHistory[[#This Row],[Score]]&gt;=50),0)</f>
        <v/>
      </c>
      <c r="W210" s="43">
        <f>IFERROR(--AND(tblHistory[[#This Row],[Score]]&gt;=60,tblHistory[[#This Row],[BIZD S]]&gt;=0.8,tblHistory[[#This Row],[BKLN S]]&gt;=0.5),0)</f>
        <v/>
      </c>
      <c r="X210" s="43">
        <f>IFERROR(--AND(tblHistory[[#This Row],[Score]]&gt;=70,tblHistory[[#This Row],[SOX S]]&gt;=0.83,tblHistory[[#This Row],[AIQ S]]&gt;=0.8),0)</f>
        <v/>
      </c>
      <c r="Y210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210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210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210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210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211">
      <c r="A211" s="39" t="n">
        <v>46021</v>
      </c>
      <c r="B211" s="40" t="n">
        <v>26772.45</v>
      </c>
      <c r="C211" s="40" t="n">
        <v>10445.98</v>
      </c>
      <c r="D211" s="40" t="n">
        <v>45.75</v>
      </c>
      <c r="E211" s="40" t="n">
        <v>260.43</v>
      </c>
      <c r="F211" s="40" t="n">
        <v>18.71</v>
      </c>
      <c r="G211" s="40" t="n">
        <v>16.51</v>
      </c>
      <c r="H211" s="40" t="n">
        <v>21</v>
      </c>
      <c r="I211" s="41" t="n">
        <v>310</v>
      </c>
      <c r="J211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211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211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211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211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211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211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211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211" s="43">
        <f>(Dashboard!$C$13*tblHistory[[#This Row],[NDX S]]+Dashboard!$C$14*tblHistory[[#This Row],[SOX S]]+Dashboard!$C$15*tblHistory[[#This Row],[AIQ S]])/SUM(Dashboard!$C$13:$C$15)*100</f>
        <v/>
      </c>
      <c r="S211" s="43">
        <f>(Dashboard!$C$16*tblHistory[[#This Row],[ORCL S]]+Dashboard!$C$17*tblHistory[[#This Row],[CRWV S]])/SUM(Dashboard!$C$16:$C$17)*100</f>
        <v/>
      </c>
      <c r="T211" s="43">
        <f>(Dashboard!$C$18*tblHistory[[#This Row],[BIZD S]]+Dashboard!$C$19*tblHistory[[#This Row],[BKLN S]]+Dashboard!$C$20*tblHistory[[#This Row],[HY S]])/SUM(Dashboard!$C$18:$C$20)*100</f>
        <v/>
      </c>
      <c r="U211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211" s="43">
        <f>IFERROR(--(tblHistory[[#This Row],[Score]]&gt;=50),0)</f>
        <v/>
      </c>
      <c r="W211" s="43">
        <f>IFERROR(--AND(tblHistory[[#This Row],[Score]]&gt;=60,tblHistory[[#This Row],[BIZD S]]&gt;=0.8,tblHistory[[#This Row],[BKLN S]]&gt;=0.5),0)</f>
        <v/>
      </c>
      <c r="X211" s="43">
        <f>IFERROR(--AND(tblHistory[[#This Row],[Score]]&gt;=70,tblHistory[[#This Row],[SOX S]]&gt;=0.83,tblHistory[[#This Row],[AIQ S]]&gt;=0.8),0)</f>
        <v/>
      </c>
      <c r="Y211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211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211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211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211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212">
      <c r="A212" s="39" t="n">
        <v>46020</v>
      </c>
      <c r="B212" s="40" t="n">
        <v>26785.01</v>
      </c>
      <c r="C212" s="40" t="n">
        <v>10436.27</v>
      </c>
      <c r="D212" s="40" t="n">
        <v>46.15</v>
      </c>
      <c r="E212" s="40" t="n">
        <v>257.63</v>
      </c>
      <c r="F212" s="40" t="n">
        <v>19.31</v>
      </c>
      <c r="G212" s="40" t="n">
        <v>16.53</v>
      </c>
      <c r="H212" s="40" t="n">
        <v>21</v>
      </c>
      <c r="I212" s="41" t="n"/>
      <c r="J212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212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212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212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212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212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212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212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212" s="43">
        <f>(Dashboard!$C$13*tblHistory[[#This Row],[NDX S]]+Dashboard!$C$14*tblHistory[[#This Row],[SOX S]]+Dashboard!$C$15*tblHistory[[#This Row],[AIQ S]])/SUM(Dashboard!$C$13:$C$15)*100</f>
        <v/>
      </c>
      <c r="S212" s="43">
        <f>(Dashboard!$C$16*tblHistory[[#This Row],[ORCL S]]+Dashboard!$C$17*tblHistory[[#This Row],[CRWV S]])/SUM(Dashboard!$C$16:$C$17)*100</f>
        <v/>
      </c>
      <c r="T212" s="43">
        <f>(Dashboard!$C$18*tblHistory[[#This Row],[BIZD S]]+Dashboard!$C$19*tblHistory[[#This Row],[BKLN S]]+Dashboard!$C$20*tblHistory[[#This Row],[HY S]])/SUM(Dashboard!$C$18:$C$20)*100</f>
        <v/>
      </c>
      <c r="U212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212" s="43">
        <f>IFERROR(--(tblHistory[[#This Row],[Score]]&gt;=50),0)</f>
        <v/>
      </c>
      <c r="W212" s="43">
        <f>IFERROR(--AND(tblHistory[[#This Row],[Score]]&gt;=60,tblHistory[[#This Row],[BIZD S]]&gt;=0.8,tblHistory[[#This Row],[BKLN S]]&gt;=0.5),0)</f>
        <v/>
      </c>
      <c r="X212" s="43">
        <f>IFERROR(--AND(tblHistory[[#This Row],[Score]]&gt;=70,tblHistory[[#This Row],[SOX S]]&gt;=0.83,tblHistory[[#This Row],[AIQ S]]&gt;=0.8),0)</f>
        <v/>
      </c>
      <c r="Y212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212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212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212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212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213">
      <c r="A213" s="39" t="n">
        <v>46017</v>
      </c>
      <c r="B213" s="40" t="n">
        <v>27061.49</v>
      </c>
      <c r="C213" s="40" t="n">
        <v>10561.5</v>
      </c>
      <c r="D213" s="40" t="n">
        <v>46.57</v>
      </c>
      <c r="E213" s="40" t="n">
        <v>262.72</v>
      </c>
      <c r="F213" s="40" t="n">
        <v>19.45</v>
      </c>
      <c r="G213" s="40" t="n">
        <v>16.65</v>
      </c>
      <c r="H213" s="40" t="n">
        <v>21.05</v>
      </c>
      <c r="I213" s="41" t="n">
        <v>310</v>
      </c>
      <c r="J213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213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213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213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213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213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213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213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213" s="43">
        <f>(Dashboard!$C$13*tblHistory[[#This Row],[NDX S]]+Dashboard!$C$14*tblHistory[[#This Row],[SOX S]]+Dashboard!$C$15*tblHistory[[#This Row],[AIQ S]])/SUM(Dashboard!$C$13:$C$15)*100</f>
        <v/>
      </c>
      <c r="S213" s="43">
        <f>(Dashboard!$C$16*tblHistory[[#This Row],[ORCL S]]+Dashboard!$C$17*tblHistory[[#This Row],[CRWV S]])/SUM(Dashboard!$C$16:$C$17)*100</f>
        <v/>
      </c>
      <c r="T213" s="43">
        <f>(Dashboard!$C$18*tblHistory[[#This Row],[BIZD S]]+Dashboard!$C$19*tblHistory[[#This Row],[BKLN S]]+Dashboard!$C$20*tblHistory[[#This Row],[HY S]])/SUM(Dashboard!$C$18:$C$20)*100</f>
        <v/>
      </c>
      <c r="U213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213" s="43">
        <f>IFERROR(--(tblHistory[[#This Row],[Score]]&gt;=50),0)</f>
        <v/>
      </c>
      <c r="W213" s="43">
        <f>IFERROR(--AND(tblHistory[[#This Row],[Score]]&gt;=60,tblHistory[[#This Row],[BIZD S]]&gt;=0.8,tblHistory[[#This Row],[BKLN S]]&gt;=0.5),0)</f>
        <v/>
      </c>
      <c r="X213" s="43">
        <f>IFERROR(--AND(tblHistory[[#This Row],[Score]]&gt;=70,tblHistory[[#This Row],[SOX S]]&gt;=0.83,tblHistory[[#This Row],[AIQ S]]&gt;=0.8),0)</f>
        <v/>
      </c>
      <c r="Y213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213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213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213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213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214">
      <c r="A214" s="39" t="n">
        <v>46016</v>
      </c>
      <c r="B214" s="40" t="n">
        <v>26753.92</v>
      </c>
      <c r="C214" s="40" t="n">
        <v>10564.13</v>
      </c>
      <c r="D214" s="40" t="n">
        <v>46.23</v>
      </c>
      <c r="E214" s="40" t="n">
        <v>268.85</v>
      </c>
      <c r="F214" s="40" t="n">
        <v>19.28</v>
      </c>
      <c r="G214" s="40" t="n">
        <v>16.79</v>
      </c>
      <c r="H214" s="40" t="n">
        <v>21.06</v>
      </c>
      <c r="I214" s="41" t="n">
        <v>306</v>
      </c>
      <c r="J214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214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214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214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214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214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214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214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214" s="43">
        <f>(Dashboard!$C$13*tblHistory[[#This Row],[NDX S]]+Dashboard!$C$14*tblHistory[[#This Row],[SOX S]]+Dashboard!$C$15*tblHistory[[#This Row],[AIQ S]])/SUM(Dashboard!$C$13:$C$15)*100</f>
        <v/>
      </c>
      <c r="S214" s="43">
        <f>(Dashboard!$C$16*tblHistory[[#This Row],[ORCL S]]+Dashboard!$C$17*tblHistory[[#This Row],[CRWV S]])/SUM(Dashboard!$C$16:$C$17)*100</f>
        <v/>
      </c>
      <c r="T214" s="43">
        <f>(Dashboard!$C$18*tblHistory[[#This Row],[BIZD S]]+Dashboard!$C$19*tblHistory[[#This Row],[BKLN S]]+Dashboard!$C$20*tblHistory[[#This Row],[HY S]])/SUM(Dashboard!$C$18:$C$20)*100</f>
        <v/>
      </c>
      <c r="U214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214" s="43">
        <f>IFERROR(--(tblHistory[[#This Row],[Score]]&gt;=50),0)</f>
        <v/>
      </c>
      <c r="W214" s="43">
        <f>IFERROR(--AND(tblHistory[[#This Row],[Score]]&gt;=60,tblHistory[[#This Row],[BIZD S]]&gt;=0.8,tblHistory[[#This Row],[BKLN S]]&gt;=0.5),0)</f>
        <v/>
      </c>
      <c r="X214" s="43">
        <f>IFERROR(--AND(tblHistory[[#This Row],[Score]]&gt;=70,tblHistory[[#This Row],[SOX S]]&gt;=0.83,tblHistory[[#This Row],[AIQ S]]&gt;=0.8),0)</f>
        <v/>
      </c>
      <c r="Y214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214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214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214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214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215">
      <c r="A215" s="39" t="n">
        <v>46015</v>
      </c>
      <c r="B215" s="40" t="n">
        <v>26558.41</v>
      </c>
      <c r="C215" s="40" t="n">
        <v>10636.1</v>
      </c>
      <c r="D215" s="40" t="n">
        <v>46.8</v>
      </c>
      <c r="E215" s="40" t="n">
        <v>265.05</v>
      </c>
      <c r="F215" s="40" t="n">
        <v>19.68</v>
      </c>
      <c r="G215" s="40" t="n">
        <v>16.79</v>
      </c>
      <c r="H215" s="40" t="n">
        <v>21.04</v>
      </c>
      <c r="I215" s="41" t="n">
        <v>303</v>
      </c>
      <c r="J215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215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215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215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215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215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215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215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215" s="43">
        <f>(Dashboard!$C$13*tblHistory[[#This Row],[NDX S]]+Dashboard!$C$14*tblHistory[[#This Row],[SOX S]]+Dashboard!$C$15*tblHistory[[#This Row],[AIQ S]])/SUM(Dashboard!$C$13:$C$15)*100</f>
        <v/>
      </c>
      <c r="S215" s="43">
        <f>(Dashboard!$C$16*tblHistory[[#This Row],[ORCL S]]+Dashboard!$C$17*tblHistory[[#This Row],[CRWV S]])/SUM(Dashboard!$C$16:$C$17)*100</f>
        <v/>
      </c>
      <c r="T215" s="43">
        <f>(Dashboard!$C$18*tblHistory[[#This Row],[BIZD S]]+Dashboard!$C$19*tblHistory[[#This Row],[BKLN S]]+Dashboard!$C$20*tblHistory[[#This Row],[HY S]])/SUM(Dashboard!$C$18:$C$20)*100</f>
        <v/>
      </c>
      <c r="U215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215" s="43">
        <f>IFERROR(--(tblHistory[[#This Row],[Score]]&gt;=50),0)</f>
        <v/>
      </c>
      <c r="W215" s="43">
        <f>IFERROR(--AND(tblHistory[[#This Row],[Score]]&gt;=60,tblHistory[[#This Row],[BIZD S]]&gt;=0.8,tblHistory[[#This Row],[BKLN S]]&gt;=0.5),0)</f>
        <v/>
      </c>
      <c r="X215" s="43">
        <f>IFERROR(--AND(tblHistory[[#This Row],[Score]]&gt;=70,tblHistory[[#This Row],[SOX S]]&gt;=0.83,tblHistory[[#This Row],[AIQ S]]&gt;=0.8),0)</f>
        <v/>
      </c>
      <c r="Y215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215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215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215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215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216">
      <c r="A216" s="39" t="n">
        <v>46014</v>
      </c>
      <c r="B216" s="40" t="n">
        <v>26580.8</v>
      </c>
      <c r="C216" s="40" t="n">
        <v>10808.3</v>
      </c>
      <c r="D216" s="40" t="n">
        <v>47.11</v>
      </c>
      <c r="E216" s="40" t="n">
        <v>265.38</v>
      </c>
      <c r="F216" s="40" t="n">
        <v>19.66</v>
      </c>
      <c r="G216" s="40" t="n">
        <v>16.75</v>
      </c>
      <c r="H216" s="40" t="n">
        <v>21.03</v>
      </c>
      <c r="I216" s="41" t="n">
        <v>301</v>
      </c>
      <c r="J216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216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216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216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216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216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216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216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216" s="43">
        <f>(Dashboard!$C$13*tblHistory[[#This Row],[NDX S]]+Dashboard!$C$14*tblHistory[[#This Row],[SOX S]]+Dashboard!$C$15*tblHistory[[#This Row],[AIQ S]])/SUM(Dashboard!$C$13:$C$15)*100</f>
        <v/>
      </c>
      <c r="S216" s="43">
        <f>(Dashboard!$C$16*tblHistory[[#This Row],[ORCL S]]+Dashboard!$C$17*tblHistory[[#This Row],[CRWV S]])/SUM(Dashboard!$C$16:$C$17)*100</f>
        <v/>
      </c>
      <c r="T216" s="43">
        <f>(Dashboard!$C$18*tblHistory[[#This Row],[BIZD S]]+Dashboard!$C$19*tblHistory[[#This Row],[BKLN S]]+Dashboard!$C$20*tblHistory[[#This Row],[HY S]])/SUM(Dashboard!$C$18:$C$20)*100</f>
        <v/>
      </c>
      <c r="U216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216" s="43">
        <f>IFERROR(--(tblHistory[[#This Row],[Score]]&gt;=50),0)</f>
        <v/>
      </c>
      <c r="W216" s="43">
        <f>IFERROR(--AND(tblHistory[[#This Row],[Score]]&gt;=60,tblHistory[[#This Row],[BIZD S]]&gt;=0.8,tblHistory[[#This Row],[BKLN S]]&gt;=0.5),0)</f>
        <v/>
      </c>
      <c r="X216" s="43">
        <f>IFERROR(--AND(tblHistory[[#This Row],[Score]]&gt;=70,tblHistory[[#This Row],[SOX S]]&gt;=0.83,tblHistory[[#This Row],[AIQ S]]&gt;=0.8),0)</f>
        <v/>
      </c>
      <c r="Y216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216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216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216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216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217">
      <c r="A217" s="39" t="n">
        <v>46013</v>
      </c>
      <c r="B217" s="40" t="n">
        <v>25970.27</v>
      </c>
      <c r="C217" s="40" t="n">
        <v>10945.71</v>
      </c>
      <c r="D217" s="40" t="n">
        <v>47.4</v>
      </c>
      <c r="E217" s="40" t="n">
        <v>269.11</v>
      </c>
      <c r="F217" s="40" t="n">
        <v>20.27</v>
      </c>
      <c r="G217" s="40" t="n">
        <v>16.82</v>
      </c>
      <c r="H217" s="40" t="n">
        <v>21.02</v>
      </c>
      <c r="I217" s="41" t="n">
        <v>298</v>
      </c>
      <c r="J217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217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217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217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217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217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217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217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217" s="43">
        <f>(Dashboard!$C$13*tblHistory[[#This Row],[NDX S]]+Dashboard!$C$14*tblHistory[[#This Row],[SOX S]]+Dashboard!$C$15*tblHistory[[#This Row],[AIQ S]])/SUM(Dashboard!$C$13:$C$15)*100</f>
        <v/>
      </c>
      <c r="S217" s="43">
        <f>(Dashboard!$C$16*tblHistory[[#This Row],[ORCL S]]+Dashboard!$C$17*tblHistory[[#This Row],[CRWV S]])/SUM(Dashboard!$C$16:$C$17)*100</f>
        <v/>
      </c>
      <c r="T217" s="43">
        <f>(Dashboard!$C$18*tblHistory[[#This Row],[BIZD S]]+Dashboard!$C$19*tblHistory[[#This Row],[BKLN S]]+Dashboard!$C$20*tblHistory[[#This Row],[HY S]])/SUM(Dashboard!$C$18:$C$20)*100</f>
        <v/>
      </c>
      <c r="U217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217" s="43">
        <f>IFERROR(--(tblHistory[[#This Row],[Score]]&gt;=50),0)</f>
        <v/>
      </c>
      <c r="W217" s="43">
        <f>IFERROR(--AND(tblHistory[[#This Row],[Score]]&gt;=60,tblHistory[[#This Row],[BIZD S]]&gt;=0.8,tblHistory[[#This Row],[BKLN S]]&gt;=0.5),0)</f>
        <v/>
      </c>
      <c r="X217" s="43">
        <f>IFERROR(--AND(tblHistory[[#This Row],[Score]]&gt;=70,tblHistory[[#This Row],[SOX S]]&gt;=0.83,tblHistory[[#This Row],[AIQ S]]&gt;=0.8),0)</f>
        <v/>
      </c>
      <c r="Y217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217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217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217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217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218">
      <c r="A218" s="39" t="n">
        <v>46010</v>
      </c>
      <c r="B218" s="40" t="n">
        <v>25740.8</v>
      </c>
      <c r="C218" s="40" t="n">
        <v>10844.77</v>
      </c>
      <c r="D218" s="40" t="n">
        <v>48.33</v>
      </c>
      <c r="E218" s="40" t="n">
        <v>273.82</v>
      </c>
      <c r="F218" s="40" t="n">
        <v>18.18</v>
      </c>
      <c r="G218" s="40" t="n">
        <v>16.68</v>
      </c>
      <c r="H218" s="40" t="n">
        <v>21.05</v>
      </c>
      <c r="I218" s="41" t="n">
        <v>294</v>
      </c>
      <c r="J218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218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218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218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218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218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218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218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218" s="43">
        <f>(Dashboard!$C$13*tblHistory[[#This Row],[NDX S]]+Dashboard!$C$14*tblHistory[[#This Row],[SOX S]]+Dashboard!$C$15*tblHistory[[#This Row],[AIQ S]])/SUM(Dashboard!$C$13:$C$15)*100</f>
        <v/>
      </c>
      <c r="S218" s="43">
        <f>(Dashboard!$C$16*tblHistory[[#This Row],[ORCL S]]+Dashboard!$C$17*tblHistory[[#This Row],[CRWV S]])/SUM(Dashboard!$C$16:$C$17)*100</f>
        <v/>
      </c>
      <c r="T218" s="43">
        <f>(Dashboard!$C$18*tblHistory[[#This Row],[BIZD S]]+Dashboard!$C$19*tblHistory[[#This Row],[BKLN S]]+Dashboard!$C$20*tblHistory[[#This Row],[HY S]])/SUM(Dashboard!$C$18:$C$20)*100</f>
        <v/>
      </c>
      <c r="U218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218" s="43">
        <f>IFERROR(--(tblHistory[[#This Row],[Score]]&gt;=50),0)</f>
        <v/>
      </c>
      <c r="W218" s="43">
        <f>IFERROR(--AND(tblHistory[[#This Row],[Score]]&gt;=60,tblHistory[[#This Row],[BIZD S]]&gt;=0.8,tblHistory[[#This Row],[BKLN S]]&gt;=0.5),0)</f>
        <v/>
      </c>
      <c r="X218" s="43">
        <f>IFERROR(--AND(tblHistory[[#This Row],[Score]]&gt;=70,tblHistory[[#This Row],[SOX S]]&gt;=0.83,tblHistory[[#This Row],[AIQ S]]&gt;=0.8),0)</f>
        <v/>
      </c>
      <c r="Y218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218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218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218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218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219">
      <c r="A219" s="39" t="n">
        <v>46009</v>
      </c>
      <c r="B219" s="40" t="n">
        <v>26013.32</v>
      </c>
      <c r="C219" s="40" t="n">
        <v>10927.44</v>
      </c>
      <c r="D219" s="40" t="n">
        <v>48.1</v>
      </c>
      <c r="E219" s="40" t="n">
        <v>272.49</v>
      </c>
      <c r="F219" s="40" t="n">
        <v>17.63</v>
      </c>
      <c r="G219" s="40" t="n">
        <v>16.67</v>
      </c>
      <c r="H219" s="40" t="n">
        <v>21.02</v>
      </c>
      <c r="I219" s="41" t="n">
        <v>288</v>
      </c>
      <c r="J219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219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219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219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219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219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219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219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219" s="43">
        <f>(Dashboard!$C$13*tblHistory[[#This Row],[NDX S]]+Dashboard!$C$14*tblHistory[[#This Row],[SOX S]]+Dashboard!$C$15*tblHistory[[#This Row],[AIQ S]])/SUM(Dashboard!$C$13:$C$15)*100</f>
        <v/>
      </c>
      <c r="S219" s="43">
        <f>(Dashboard!$C$16*tblHistory[[#This Row],[ORCL S]]+Dashboard!$C$17*tblHistory[[#This Row],[CRWV S]])/SUM(Dashboard!$C$16:$C$17)*100</f>
        <v/>
      </c>
      <c r="T219" s="43">
        <f>(Dashboard!$C$18*tblHistory[[#This Row],[BIZD S]]+Dashboard!$C$19*tblHistory[[#This Row],[BKLN S]]+Dashboard!$C$20*tblHistory[[#This Row],[HY S]])/SUM(Dashboard!$C$18:$C$20)*100</f>
        <v/>
      </c>
      <c r="U219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219" s="43">
        <f>IFERROR(--(tblHistory[[#This Row],[Score]]&gt;=50),0)</f>
        <v/>
      </c>
      <c r="W219" s="43">
        <f>IFERROR(--AND(tblHistory[[#This Row],[Score]]&gt;=60,tblHistory[[#This Row],[BIZD S]]&gt;=0.8,tblHistory[[#This Row],[BKLN S]]&gt;=0.5),0)</f>
        <v/>
      </c>
      <c r="X219" s="43">
        <f>IFERROR(--AND(tblHistory[[#This Row],[Score]]&gt;=70,tblHistory[[#This Row],[SOX S]]&gt;=0.83,tblHistory[[#This Row],[AIQ S]]&gt;=0.8),0)</f>
        <v/>
      </c>
      <c r="Y219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219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219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219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219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220">
      <c r="A220" s="39" t="n">
        <v>46008</v>
      </c>
      <c r="B220" s="40" t="n">
        <v>25252.47</v>
      </c>
      <c r="C220" s="40" t="n">
        <v>10973.93</v>
      </c>
      <c r="D220" s="40" t="n">
        <v>47.7</v>
      </c>
      <c r="E220" s="40" t="n">
        <v>270.23</v>
      </c>
      <c r="F220" s="40" t="n">
        <v>16.25</v>
      </c>
      <c r="G220" s="40" t="n">
        <v>16.69</v>
      </c>
      <c r="H220" s="40" t="n">
        <v>20.95</v>
      </c>
      <c r="I220" s="41" t="n">
        <v>284</v>
      </c>
      <c r="J220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220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220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220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220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220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220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220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220" s="43">
        <f>(Dashboard!$C$13*tblHistory[[#This Row],[NDX S]]+Dashboard!$C$14*tblHistory[[#This Row],[SOX S]]+Dashboard!$C$15*tblHistory[[#This Row],[AIQ S]])/SUM(Dashboard!$C$13:$C$15)*100</f>
        <v/>
      </c>
      <c r="S220" s="43">
        <f>(Dashboard!$C$16*tblHistory[[#This Row],[ORCL S]]+Dashboard!$C$17*tblHistory[[#This Row],[CRWV S]])/SUM(Dashboard!$C$16:$C$17)*100</f>
        <v/>
      </c>
      <c r="T220" s="43">
        <f>(Dashboard!$C$18*tblHistory[[#This Row],[BIZD S]]+Dashboard!$C$19*tblHistory[[#This Row],[BKLN S]]+Dashboard!$C$20*tblHistory[[#This Row],[HY S]])/SUM(Dashboard!$C$18:$C$20)*100</f>
        <v/>
      </c>
      <c r="U220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220" s="43">
        <f>IFERROR(--(tblHistory[[#This Row],[Score]]&gt;=50),0)</f>
        <v/>
      </c>
      <c r="W220" s="43">
        <f>IFERROR(--AND(tblHistory[[#This Row],[Score]]&gt;=60,tblHistory[[#This Row],[BIZD S]]&gt;=0.8,tblHistory[[#This Row],[BKLN S]]&gt;=0.5),0)</f>
        <v/>
      </c>
      <c r="X220" s="43">
        <f>IFERROR(--AND(tblHistory[[#This Row],[Score]]&gt;=70,tblHistory[[#This Row],[SOX S]]&gt;=0.83,tblHistory[[#This Row],[AIQ S]]&gt;=0.8),0)</f>
        <v/>
      </c>
      <c r="Y220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220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220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220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220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221">
      <c r="A221" s="39" t="n">
        <v>46007</v>
      </c>
      <c r="B221" s="40" t="n">
        <v>25095.73</v>
      </c>
      <c r="C221" s="40" t="n">
        <v>11377.47</v>
      </c>
      <c r="D221" s="40" t="n">
        <v>47.15</v>
      </c>
      <c r="E221" s="40" t="n">
        <v>273.51</v>
      </c>
      <c r="F221" s="40" t="n">
        <v>17.59</v>
      </c>
      <c r="G221" s="40" t="n">
        <v>16.74</v>
      </c>
      <c r="H221" s="40" t="n">
        <v>20.99</v>
      </c>
      <c r="I221" s="41" t="n">
        <v>295</v>
      </c>
      <c r="J221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221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221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221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221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221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221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221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221" s="43">
        <f>(Dashboard!$C$13*tblHistory[[#This Row],[NDX S]]+Dashboard!$C$14*tblHistory[[#This Row],[SOX S]]+Dashboard!$C$15*tblHistory[[#This Row],[AIQ S]])/SUM(Dashboard!$C$13:$C$15)*100</f>
        <v/>
      </c>
      <c r="S221" s="43">
        <f>(Dashboard!$C$16*tblHistory[[#This Row],[ORCL S]]+Dashboard!$C$17*tblHistory[[#This Row],[CRWV S]])/SUM(Dashboard!$C$16:$C$17)*100</f>
        <v/>
      </c>
      <c r="T221" s="43">
        <f>(Dashboard!$C$18*tblHistory[[#This Row],[BIZD S]]+Dashboard!$C$19*tblHistory[[#This Row],[BKLN S]]+Dashboard!$C$20*tblHistory[[#This Row],[HY S]])/SUM(Dashboard!$C$18:$C$20)*100</f>
        <v/>
      </c>
      <c r="U221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221" s="43">
        <f>IFERROR(--(tblHistory[[#This Row],[Score]]&gt;=50),0)</f>
        <v/>
      </c>
      <c r="W221" s="43">
        <f>IFERROR(--AND(tblHistory[[#This Row],[Score]]&gt;=60,tblHistory[[#This Row],[BIZD S]]&gt;=0.8,tblHistory[[#This Row],[BKLN S]]&gt;=0.5),0)</f>
        <v/>
      </c>
      <c r="X221" s="43">
        <f>IFERROR(--AND(tblHistory[[#This Row],[Score]]&gt;=70,tblHistory[[#This Row],[SOX S]]&gt;=0.83,tblHistory[[#This Row],[AIQ S]]&gt;=0.8),0)</f>
        <v/>
      </c>
      <c r="Y221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221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221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221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221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222">
      <c r="A222" s="39" t="n">
        <v>46006</v>
      </c>
      <c r="B222" s="40" t="n">
        <v>25615.44</v>
      </c>
      <c r="C222" s="40" t="n">
        <v>11374.83</v>
      </c>
      <c r="D222" s="40" t="n">
        <v>46.33</v>
      </c>
      <c r="E222" s="40" t="n">
        <v>274.15</v>
      </c>
      <c r="F222" s="40" t="n">
        <v>16.58</v>
      </c>
      <c r="G222" s="40" t="n">
        <v>16.81</v>
      </c>
      <c r="H222" s="40" t="n">
        <v>20.91</v>
      </c>
      <c r="I222" s="41" t="n">
        <v>294</v>
      </c>
      <c r="J222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222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222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222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222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222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222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222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222" s="43">
        <f>(Dashboard!$C$13*tblHistory[[#This Row],[NDX S]]+Dashboard!$C$14*tblHistory[[#This Row],[SOX S]]+Dashboard!$C$15*tblHistory[[#This Row],[AIQ S]])/SUM(Dashboard!$C$13:$C$15)*100</f>
        <v/>
      </c>
      <c r="S222" s="43">
        <f>(Dashboard!$C$16*tblHistory[[#This Row],[ORCL S]]+Dashboard!$C$17*tblHistory[[#This Row],[CRWV S]])/SUM(Dashboard!$C$16:$C$17)*100</f>
        <v/>
      </c>
      <c r="T222" s="43">
        <f>(Dashboard!$C$18*tblHistory[[#This Row],[BIZD S]]+Dashboard!$C$19*tblHistory[[#This Row],[BKLN S]]+Dashboard!$C$20*tblHistory[[#This Row],[HY S]])/SUM(Dashboard!$C$18:$C$20)*100</f>
        <v/>
      </c>
      <c r="U222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222" s="43">
        <f>IFERROR(--(tblHistory[[#This Row],[Score]]&gt;=50),0)</f>
        <v/>
      </c>
      <c r="W222" s="43">
        <f>IFERROR(--AND(tblHistory[[#This Row],[Score]]&gt;=60,tblHistory[[#This Row],[BIZD S]]&gt;=0.8,tblHistory[[#This Row],[BKLN S]]&gt;=0.5),0)</f>
        <v/>
      </c>
      <c r="X222" s="43">
        <f>IFERROR(--AND(tblHistory[[#This Row],[Score]]&gt;=70,tblHistory[[#This Row],[SOX S]]&gt;=0.83,tblHistory[[#This Row],[AIQ S]]&gt;=0.8),0)</f>
        <v/>
      </c>
      <c r="Y222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222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222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222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222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223">
      <c r="A223" s="39" t="n">
        <v>46003</v>
      </c>
      <c r="B223" s="40" t="n">
        <v>25010.9</v>
      </c>
      <c r="C223" s="40" t="n">
        <v>11590.89</v>
      </c>
      <c r="D223" s="40" t="n">
        <v>46.63</v>
      </c>
      <c r="E223" s="40" t="n">
        <v>265.56</v>
      </c>
      <c r="F223" s="40" t="n">
        <v>17.28</v>
      </c>
      <c r="G223" s="40" t="n">
        <v>16.69</v>
      </c>
      <c r="H223" s="40" t="n">
        <v>20.86</v>
      </c>
      <c r="I223" s="41" t="n">
        <v>297</v>
      </c>
      <c r="J223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223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223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223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223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223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223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223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223" s="43">
        <f>(Dashboard!$C$13*tblHistory[[#This Row],[NDX S]]+Dashboard!$C$14*tblHistory[[#This Row],[SOX S]]+Dashboard!$C$15*tblHistory[[#This Row],[AIQ S]])/SUM(Dashboard!$C$13:$C$15)*100</f>
        <v/>
      </c>
      <c r="S223" s="43">
        <f>(Dashboard!$C$16*tblHistory[[#This Row],[ORCL S]]+Dashboard!$C$17*tblHistory[[#This Row],[CRWV S]])/SUM(Dashboard!$C$16:$C$17)*100</f>
        <v/>
      </c>
      <c r="T223" s="43">
        <f>(Dashboard!$C$18*tblHistory[[#This Row],[BIZD S]]+Dashboard!$C$19*tblHistory[[#This Row],[BKLN S]]+Dashboard!$C$20*tblHistory[[#This Row],[HY S]])/SUM(Dashboard!$C$18:$C$20)*100</f>
        <v/>
      </c>
      <c r="U223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223" s="43">
        <f>IFERROR(--(tblHistory[[#This Row],[Score]]&gt;=50),0)</f>
        <v/>
      </c>
      <c r="W223" s="43">
        <f>IFERROR(--AND(tblHistory[[#This Row],[Score]]&gt;=60,tblHistory[[#This Row],[BIZD S]]&gt;=0.8,tblHistory[[#This Row],[BKLN S]]&gt;=0.5),0)</f>
        <v/>
      </c>
      <c r="X223" s="43">
        <f>IFERROR(--AND(tblHistory[[#This Row],[Score]]&gt;=70,tblHistory[[#This Row],[SOX S]]&gt;=0.83,tblHistory[[#This Row],[AIQ S]]&gt;=0.8),0)</f>
        <v/>
      </c>
      <c r="Y223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223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223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223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223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224">
      <c r="A224" s="39" t="n">
        <v>46002</v>
      </c>
      <c r="B224" s="40" t="n">
        <v>25137.12</v>
      </c>
      <c r="C224" s="40" t="n">
        <v>11825.08</v>
      </c>
      <c r="D224" s="40" t="n">
        <v>47.12</v>
      </c>
      <c r="E224" s="40" t="n">
        <v>261.5</v>
      </c>
      <c r="F224" s="40" t="n">
        <v>17.68</v>
      </c>
      <c r="G224" s="40" t="n">
        <v>16.76</v>
      </c>
      <c r="H224" s="40" t="n">
        <v>20.88</v>
      </c>
      <c r="I224" s="41" t="n">
        <v>298</v>
      </c>
      <c r="J224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224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224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224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224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224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224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224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224" s="43">
        <f>(Dashboard!$C$13*tblHistory[[#This Row],[NDX S]]+Dashboard!$C$14*tblHistory[[#This Row],[SOX S]]+Dashboard!$C$15*tblHistory[[#This Row],[AIQ S]])/SUM(Dashboard!$C$13:$C$15)*100</f>
        <v/>
      </c>
      <c r="S224" s="43">
        <f>(Dashboard!$C$16*tblHistory[[#This Row],[ORCL S]]+Dashboard!$C$17*tblHistory[[#This Row],[CRWV S]])/SUM(Dashboard!$C$16:$C$17)*100</f>
        <v/>
      </c>
      <c r="T224" s="43">
        <f>(Dashboard!$C$18*tblHistory[[#This Row],[BIZD S]]+Dashboard!$C$19*tblHistory[[#This Row],[BKLN S]]+Dashboard!$C$20*tblHistory[[#This Row],[HY S]])/SUM(Dashboard!$C$18:$C$20)*100</f>
        <v/>
      </c>
      <c r="U224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224" s="43">
        <f>IFERROR(--(tblHistory[[#This Row],[Score]]&gt;=50),0)</f>
        <v/>
      </c>
      <c r="W224" s="43">
        <f>IFERROR(--AND(tblHistory[[#This Row],[Score]]&gt;=60,tblHistory[[#This Row],[BIZD S]]&gt;=0.8,tblHistory[[#This Row],[BKLN S]]&gt;=0.5),0)</f>
        <v/>
      </c>
      <c r="X224" s="43">
        <f>IFERROR(--AND(tblHistory[[#This Row],[Score]]&gt;=70,tblHistory[[#This Row],[SOX S]]&gt;=0.83,tblHistory[[#This Row],[AIQ S]]&gt;=0.8),0)</f>
        <v/>
      </c>
      <c r="Y224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224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224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224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224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225">
      <c r="A225" s="39" t="n">
        <v>46001</v>
      </c>
      <c r="B225" s="40" t="n">
        <v>25211.71</v>
      </c>
      <c r="C225" s="40" t="n">
        <v>11587.04</v>
      </c>
      <c r="D225" s="40" t="n">
        <v>47.52</v>
      </c>
      <c r="E225" s="40" t="n">
        <v>262.53</v>
      </c>
      <c r="F225" s="40" t="n">
        <v>17.49</v>
      </c>
      <c r="G225" s="40" t="n">
        <v>16.71</v>
      </c>
      <c r="H225" s="40" t="n">
        <v>20.89</v>
      </c>
      <c r="I225" s="41" t="n">
        <v>299</v>
      </c>
      <c r="J225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225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225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225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225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225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225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225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225" s="43">
        <f>(Dashboard!$C$13*tblHistory[[#This Row],[NDX S]]+Dashboard!$C$14*tblHistory[[#This Row],[SOX S]]+Dashboard!$C$15*tblHistory[[#This Row],[AIQ S]])/SUM(Dashboard!$C$13:$C$15)*100</f>
        <v/>
      </c>
      <c r="S225" s="43">
        <f>(Dashboard!$C$16*tblHistory[[#This Row],[ORCL S]]+Dashboard!$C$17*tblHistory[[#This Row],[CRWV S]])/SUM(Dashboard!$C$16:$C$17)*100</f>
        <v/>
      </c>
      <c r="T225" s="43">
        <f>(Dashboard!$C$18*tblHistory[[#This Row],[BIZD S]]+Dashboard!$C$19*tblHistory[[#This Row],[BKLN S]]+Dashboard!$C$20*tblHistory[[#This Row],[HY S]])/SUM(Dashboard!$C$18:$C$20)*100</f>
        <v/>
      </c>
      <c r="U225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225" s="43">
        <f>IFERROR(--(tblHistory[[#This Row],[Score]]&gt;=50),0)</f>
        <v/>
      </c>
      <c r="W225" s="43">
        <f>IFERROR(--AND(tblHistory[[#This Row],[Score]]&gt;=60,tblHistory[[#This Row],[BIZD S]]&gt;=0.8,tblHistory[[#This Row],[BKLN S]]&gt;=0.5),0)</f>
        <v/>
      </c>
      <c r="X225" s="43">
        <f>IFERROR(--AND(tblHistory[[#This Row],[Score]]&gt;=70,tblHistory[[#This Row],[SOX S]]&gt;=0.83,tblHistory[[#This Row],[AIQ S]]&gt;=0.8),0)</f>
        <v/>
      </c>
      <c r="Y225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225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225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225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225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226">
      <c r="A226" s="39" t="n">
        <v>46000</v>
      </c>
      <c r="B226" s="40" t="n">
        <v>24803.77</v>
      </c>
      <c r="C226" s="40" t="n">
        <v>11556.3</v>
      </c>
      <c r="D226" s="40" t="n">
        <v>48.24</v>
      </c>
      <c r="E226" s="40" t="n">
        <v>264.91</v>
      </c>
      <c r="F226" s="40" t="n">
        <v>16.94</v>
      </c>
      <c r="G226" s="40" t="n">
        <v>16.56</v>
      </c>
      <c r="H226" s="40" t="n">
        <v>20.86</v>
      </c>
      <c r="I226" s="41" t="n">
        <v>304</v>
      </c>
      <c r="J226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226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226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226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226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226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226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226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226" s="43">
        <f>(Dashboard!$C$13*tblHistory[[#This Row],[NDX S]]+Dashboard!$C$14*tblHistory[[#This Row],[SOX S]]+Dashboard!$C$15*tblHistory[[#This Row],[AIQ S]])/SUM(Dashboard!$C$13:$C$15)*100</f>
        <v/>
      </c>
      <c r="S226" s="43">
        <f>(Dashboard!$C$16*tblHistory[[#This Row],[ORCL S]]+Dashboard!$C$17*tblHistory[[#This Row],[CRWV S]])/SUM(Dashboard!$C$16:$C$17)*100</f>
        <v/>
      </c>
      <c r="T226" s="43">
        <f>(Dashboard!$C$18*tblHistory[[#This Row],[BIZD S]]+Dashboard!$C$19*tblHistory[[#This Row],[BKLN S]]+Dashboard!$C$20*tblHistory[[#This Row],[HY S]])/SUM(Dashboard!$C$18:$C$20)*100</f>
        <v/>
      </c>
      <c r="U226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226" s="43">
        <f>IFERROR(--(tblHistory[[#This Row],[Score]]&gt;=50),0)</f>
        <v/>
      </c>
      <c r="W226" s="43">
        <f>IFERROR(--AND(tblHistory[[#This Row],[Score]]&gt;=60,tblHistory[[#This Row],[BIZD S]]&gt;=0.8,tblHistory[[#This Row],[BKLN S]]&gt;=0.5),0)</f>
        <v/>
      </c>
      <c r="X226" s="43">
        <f>IFERROR(--AND(tblHistory[[#This Row],[Score]]&gt;=70,tblHistory[[#This Row],[SOX S]]&gt;=0.83,tblHistory[[#This Row],[AIQ S]]&gt;=0.8),0)</f>
        <v/>
      </c>
      <c r="Y226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226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226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226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226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227">
      <c r="A227" s="39" t="n">
        <v>45999</v>
      </c>
      <c r="B227" s="40" t="n">
        <v>24523.62</v>
      </c>
      <c r="C227" s="40" t="n">
        <v>11781.78</v>
      </c>
      <c r="D227" s="40" t="n">
        <v>47.65</v>
      </c>
      <c r="E227" s="40" t="n">
        <v>266.66</v>
      </c>
      <c r="F227" s="40" t="n">
        <v>18.32</v>
      </c>
      <c r="G227" s="40" t="n">
        <v>16.51</v>
      </c>
      <c r="H227" s="40" t="n">
        <v>20.88</v>
      </c>
      <c r="I227" s="41" t="n">
        <v>305</v>
      </c>
      <c r="J227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227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227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227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227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227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227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227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227" s="43">
        <f>(Dashboard!$C$13*tblHistory[[#This Row],[NDX S]]+Dashboard!$C$14*tblHistory[[#This Row],[SOX S]]+Dashboard!$C$15*tblHistory[[#This Row],[AIQ S]])/SUM(Dashboard!$C$13:$C$15)*100</f>
        <v/>
      </c>
      <c r="S227" s="43">
        <f>(Dashboard!$C$16*tblHistory[[#This Row],[ORCL S]]+Dashboard!$C$17*tblHistory[[#This Row],[CRWV S]])/SUM(Dashboard!$C$16:$C$17)*100</f>
        <v/>
      </c>
      <c r="T227" s="43">
        <f>(Dashboard!$C$18*tblHistory[[#This Row],[BIZD S]]+Dashboard!$C$19*tblHistory[[#This Row],[BKLN S]]+Dashboard!$C$20*tblHistory[[#This Row],[HY S]])/SUM(Dashboard!$C$18:$C$20)*100</f>
        <v/>
      </c>
      <c r="U227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227" s="43">
        <f>IFERROR(--(tblHistory[[#This Row],[Score]]&gt;=50),0)</f>
        <v/>
      </c>
      <c r="W227" s="43">
        <f>IFERROR(--AND(tblHistory[[#This Row],[Score]]&gt;=60,tblHistory[[#This Row],[BIZD S]]&gt;=0.8,tblHistory[[#This Row],[BKLN S]]&gt;=0.5),0)</f>
        <v/>
      </c>
      <c r="X227" s="43">
        <f>IFERROR(--AND(tblHistory[[#This Row],[Score]]&gt;=70,tblHistory[[#This Row],[SOX S]]&gt;=0.83,tblHistory[[#This Row],[AIQ S]]&gt;=0.8),0)</f>
        <v/>
      </c>
      <c r="Y227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227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227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227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227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228">
      <c r="A228" s="39" t="n">
        <v>45996</v>
      </c>
      <c r="B228" s="40" t="n">
        <v>25129.55</v>
      </c>
      <c r="C228" s="40" t="n">
        <v>11834.58</v>
      </c>
      <c r="D228" s="40" t="n">
        <v>48.58</v>
      </c>
      <c r="E228" s="40" t="n">
        <v>263.28</v>
      </c>
      <c r="F228" s="40" t="n">
        <v>18.65</v>
      </c>
      <c r="G228" s="40" t="n">
        <v>16.4</v>
      </c>
      <c r="H228" s="40" t="n">
        <v>20.85</v>
      </c>
      <c r="I228" s="41" t="n">
        <v>307</v>
      </c>
      <c r="J228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228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228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228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228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228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228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228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228" s="43">
        <f>(Dashboard!$C$13*tblHistory[[#This Row],[NDX S]]+Dashboard!$C$14*tblHistory[[#This Row],[SOX S]]+Dashboard!$C$15*tblHistory[[#This Row],[AIQ S]])/SUM(Dashboard!$C$13:$C$15)*100</f>
        <v/>
      </c>
      <c r="S228" s="43">
        <f>(Dashboard!$C$16*tblHistory[[#This Row],[ORCL S]]+Dashboard!$C$17*tblHistory[[#This Row],[CRWV S]])/SUM(Dashboard!$C$16:$C$17)*100</f>
        <v/>
      </c>
      <c r="T228" s="43">
        <f>(Dashboard!$C$18*tblHistory[[#This Row],[BIZD S]]+Dashboard!$C$19*tblHistory[[#This Row],[BKLN S]]+Dashboard!$C$20*tblHistory[[#This Row],[HY S]])/SUM(Dashboard!$C$18:$C$20)*100</f>
        <v/>
      </c>
      <c r="U228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228" s="43">
        <f>IFERROR(--(tblHistory[[#This Row],[Score]]&gt;=50),0)</f>
        <v/>
      </c>
      <c r="W228" s="43">
        <f>IFERROR(--AND(tblHistory[[#This Row],[Score]]&gt;=60,tblHistory[[#This Row],[BIZD S]]&gt;=0.8,tblHistory[[#This Row],[BKLN S]]&gt;=0.5),0)</f>
        <v/>
      </c>
      <c r="X228" s="43">
        <f>IFERROR(--AND(tblHistory[[#This Row],[Score]]&gt;=70,tblHistory[[#This Row],[SOX S]]&gt;=0.83,tblHistory[[#This Row],[AIQ S]]&gt;=0.8),0)</f>
        <v/>
      </c>
      <c r="Y228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228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228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228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228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229">
      <c r="A229" s="39" t="n">
        <v>45995</v>
      </c>
      <c r="B229" s="40" t="n">
        <v>24978.86</v>
      </c>
      <c r="C229" s="40" t="n">
        <v>11676.92</v>
      </c>
      <c r="D229" s="40" t="n">
        <v>48.4</v>
      </c>
      <c r="E229" s="40" t="n">
        <v>257.95</v>
      </c>
      <c r="F229" s="40" t="n">
        <v>18.39</v>
      </c>
      <c r="G229" s="40" t="n">
        <v>16.49</v>
      </c>
      <c r="H229" s="40" t="n">
        <v>20.81</v>
      </c>
      <c r="I229" s="41" t="n"/>
      <c r="J229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229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229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229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229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229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229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229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229" s="43">
        <f>(Dashboard!$C$13*tblHistory[[#This Row],[NDX S]]+Dashboard!$C$14*tblHistory[[#This Row],[SOX S]]+Dashboard!$C$15*tblHistory[[#This Row],[AIQ S]])/SUM(Dashboard!$C$13:$C$15)*100</f>
        <v/>
      </c>
      <c r="S229" s="43">
        <f>(Dashboard!$C$16*tblHistory[[#This Row],[ORCL S]]+Dashboard!$C$17*tblHistory[[#This Row],[CRWV S]])/SUM(Dashboard!$C$16:$C$17)*100</f>
        <v/>
      </c>
      <c r="T229" s="43">
        <f>(Dashboard!$C$18*tblHistory[[#This Row],[BIZD S]]+Dashboard!$C$19*tblHistory[[#This Row],[BKLN S]]+Dashboard!$C$20*tblHistory[[#This Row],[HY S]])/SUM(Dashboard!$C$18:$C$20)*100</f>
        <v/>
      </c>
      <c r="U229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229" s="43">
        <f>IFERROR(--(tblHistory[[#This Row],[Score]]&gt;=50),0)</f>
        <v/>
      </c>
      <c r="W229" s="43">
        <f>IFERROR(--AND(tblHistory[[#This Row],[Score]]&gt;=60,tblHistory[[#This Row],[BIZD S]]&gt;=0.8,tblHistory[[#This Row],[BKLN S]]&gt;=0.5),0)</f>
        <v/>
      </c>
      <c r="X229" s="43">
        <f>IFERROR(--AND(tblHistory[[#This Row],[Score]]&gt;=70,tblHistory[[#This Row],[SOX S]]&gt;=0.83,tblHistory[[#This Row],[AIQ S]]&gt;=0.8),0)</f>
        <v/>
      </c>
      <c r="Y229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229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229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229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229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230">
      <c r="A230" s="39" t="n">
        <v>45994</v>
      </c>
      <c r="B230" s="40" t="n">
        <v>24767</v>
      </c>
      <c r="C230" s="40" t="n">
        <v>11456.6</v>
      </c>
      <c r="D230" s="40" t="n">
        <v>49.67</v>
      </c>
      <c r="E230" s="40" t="n">
        <v>255.59</v>
      </c>
      <c r="F230" s="40" t="n">
        <v>18</v>
      </c>
      <c r="G230" s="40" t="n">
        <v>16.53</v>
      </c>
      <c r="H230" s="40" t="n">
        <v>20.78</v>
      </c>
      <c r="I230" s="41" t="n">
        <v>314</v>
      </c>
      <c r="J230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230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230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230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230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230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230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230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230" s="43">
        <f>(Dashboard!$C$13*tblHistory[[#This Row],[NDX S]]+Dashboard!$C$14*tblHistory[[#This Row],[SOX S]]+Dashboard!$C$15*tblHistory[[#This Row],[AIQ S]])/SUM(Dashboard!$C$13:$C$15)*100</f>
        <v/>
      </c>
      <c r="S230" s="43">
        <f>(Dashboard!$C$16*tblHistory[[#This Row],[ORCL S]]+Dashboard!$C$17*tblHistory[[#This Row],[CRWV S]])/SUM(Dashboard!$C$16:$C$17)*100</f>
        <v/>
      </c>
      <c r="T230" s="43">
        <f>(Dashboard!$C$18*tblHistory[[#This Row],[BIZD S]]+Dashboard!$C$19*tblHistory[[#This Row],[BKLN S]]+Dashboard!$C$20*tblHistory[[#This Row],[HY S]])/SUM(Dashboard!$C$18:$C$20)*100</f>
        <v/>
      </c>
      <c r="U230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230" s="43">
        <f>IFERROR(--(tblHistory[[#This Row],[Score]]&gt;=50),0)</f>
        <v/>
      </c>
      <c r="W230" s="43">
        <f>IFERROR(--AND(tblHistory[[#This Row],[Score]]&gt;=60,tblHistory[[#This Row],[BIZD S]]&gt;=0.8,tblHistory[[#This Row],[BKLN S]]&gt;=0.5),0)</f>
        <v/>
      </c>
      <c r="X230" s="43">
        <f>IFERROR(--AND(tblHistory[[#This Row],[Score]]&gt;=70,tblHistory[[#This Row],[SOX S]]&gt;=0.83,tblHistory[[#This Row],[AIQ S]]&gt;=0.8),0)</f>
        <v/>
      </c>
      <c r="Y230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230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230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230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230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231">
      <c r="A231" s="39" t="n">
        <v>45993</v>
      </c>
      <c r="B231" s="40" t="n">
        <v>24359.15</v>
      </c>
      <c r="C231" s="40" t="n">
        <v>11358.17</v>
      </c>
      <c r="D231" s="40" t="n">
        <v>49.87</v>
      </c>
      <c r="E231" s="40" t="n">
        <v>260.87</v>
      </c>
      <c r="F231" s="40" t="n">
        <v>17.44</v>
      </c>
      <c r="G231" s="40" t="n">
        <v>16.63</v>
      </c>
      <c r="H231" s="40" t="n">
        <v>20.73</v>
      </c>
      <c r="I231" s="41" t="n">
        <v>322</v>
      </c>
      <c r="J231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231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231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231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231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231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231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231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231" s="43">
        <f>(Dashboard!$C$13*tblHistory[[#This Row],[NDX S]]+Dashboard!$C$14*tblHistory[[#This Row],[SOX S]]+Dashboard!$C$15*tblHistory[[#This Row],[AIQ S]])/SUM(Dashboard!$C$13:$C$15)*100</f>
        <v/>
      </c>
      <c r="S231" s="43">
        <f>(Dashboard!$C$16*tblHistory[[#This Row],[ORCL S]]+Dashboard!$C$17*tblHistory[[#This Row],[CRWV S]])/SUM(Dashboard!$C$16:$C$17)*100</f>
        <v/>
      </c>
      <c r="T231" s="43">
        <f>(Dashboard!$C$18*tblHistory[[#This Row],[BIZD S]]+Dashboard!$C$19*tblHistory[[#This Row],[BKLN S]]+Dashboard!$C$20*tblHistory[[#This Row],[HY S]])/SUM(Dashboard!$C$18:$C$20)*100</f>
        <v/>
      </c>
      <c r="U231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231" s="43">
        <f>IFERROR(--(tblHistory[[#This Row],[Score]]&gt;=50),0)</f>
        <v/>
      </c>
      <c r="W231" s="43">
        <f>IFERROR(--AND(tblHistory[[#This Row],[Score]]&gt;=60,tblHistory[[#This Row],[BIZD S]]&gt;=0.8,tblHistory[[#This Row],[BKLN S]]&gt;=0.5),0)</f>
        <v/>
      </c>
      <c r="X231" s="43">
        <f>IFERROR(--AND(tblHistory[[#This Row],[Score]]&gt;=70,tblHistory[[#This Row],[SOX S]]&gt;=0.83,tblHistory[[#This Row],[AIQ S]]&gt;=0.8),0)</f>
        <v/>
      </c>
      <c r="Y231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231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231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231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231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232">
      <c r="A232" s="39" t="n">
        <v>45992</v>
      </c>
      <c r="B232" s="40" t="n">
        <v>24249.31</v>
      </c>
      <c r="C232" s="40" t="n">
        <v>11358.67</v>
      </c>
      <c r="D232" s="40" t="n">
        <v>49.62</v>
      </c>
      <c r="E232" s="40" t="n">
        <v>257.53</v>
      </c>
      <c r="F232" s="40" t="n">
        <v>16.41</v>
      </c>
      <c r="G232" s="40" t="n">
        <v>16.7</v>
      </c>
      <c r="H232" s="40" t="n">
        <v>20.72</v>
      </c>
      <c r="I232" s="41" t="n">
        <v>330</v>
      </c>
      <c r="J232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232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232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232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232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232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232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232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232" s="43">
        <f>(Dashboard!$C$13*tblHistory[[#This Row],[NDX S]]+Dashboard!$C$14*tblHistory[[#This Row],[SOX S]]+Dashboard!$C$15*tblHistory[[#This Row],[AIQ S]])/SUM(Dashboard!$C$13:$C$15)*100</f>
        <v/>
      </c>
      <c r="S232" s="43">
        <f>(Dashboard!$C$16*tblHistory[[#This Row],[ORCL S]]+Dashboard!$C$17*tblHistory[[#This Row],[CRWV S]])/SUM(Dashboard!$C$16:$C$17)*100</f>
        <v/>
      </c>
      <c r="T232" s="43">
        <f>(Dashboard!$C$18*tblHistory[[#This Row],[BIZD S]]+Dashboard!$C$19*tblHistory[[#This Row],[BKLN S]]+Dashboard!$C$20*tblHistory[[#This Row],[HY S]])/SUM(Dashboard!$C$18:$C$20)*100</f>
        <v/>
      </c>
      <c r="U232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232" s="43">
        <f>IFERROR(--(tblHistory[[#This Row],[Score]]&gt;=50),0)</f>
        <v/>
      </c>
      <c r="W232" s="43">
        <f>IFERROR(--AND(tblHistory[[#This Row],[Score]]&gt;=60,tblHistory[[#This Row],[BIZD S]]&gt;=0.8,tblHistory[[#This Row],[BKLN S]]&gt;=0.5),0)</f>
        <v/>
      </c>
      <c r="X232" s="43">
        <f>IFERROR(--AND(tblHistory[[#This Row],[Score]]&gt;=70,tblHistory[[#This Row],[SOX S]]&gt;=0.83,tblHistory[[#This Row],[AIQ S]]&gt;=0.8),0)</f>
        <v/>
      </c>
      <c r="Y232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232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232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232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232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233">
      <c r="A233" s="39" t="n">
        <v>45989</v>
      </c>
      <c r="B233" s="40" t="n">
        <v>24041.78</v>
      </c>
      <c r="C233" s="40" t="n">
        <v>11786.96</v>
      </c>
      <c r="D233" s="40" t="n">
        <v>50</v>
      </c>
      <c r="E233" s="40" t="n">
        <v>257.08</v>
      </c>
      <c r="F233" s="40" t="n">
        <v>15.75</v>
      </c>
      <c r="G233" s="40" t="n">
        <v>16.52</v>
      </c>
      <c r="H233" s="40" t="n">
        <v>20.68</v>
      </c>
      <c r="I233" s="41" t="n">
        <v>332</v>
      </c>
      <c r="J233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233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233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233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233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233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233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233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233" s="43">
        <f>(Dashboard!$C$13*tblHistory[[#This Row],[NDX S]]+Dashboard!$C$14*tblHistory[[#This Row],[SOX S]]+Dashboard!$C$15*tblHistory[[#This Row],[AIQ S]])/SUM(Dashboard!$C$13:$C$15)*100</f>
        <v/>
      </c>
      <c r="S233" s="43">
        <f>(Dashboard!$C$16*tblHistory[[#This Row],[ORCL S]]+Dashboard!$C$17*tblHistory[[#This Row],[CRWV S]])/SUM(Dashboard!$C$16:$C$17)*100</f>
        <v/>
      </c>
      <c r="T233" s="43">
        <f>(Dashboard!$C$18*tblHistory[[#This Row],[BIZD S]]+Dashboard!$C$19*tblHistory[[#This Row],[BKLN S]]+Dashboard!$C$20*tblHistory[[#This Row],[HY S]])/SUM(Dashboard!$C$18:$C$20)*100</f>
        <v/>
      </c>
      <c r="U233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233" s="43">
        <f>IFERROR(--(tblHistory[[#This Row],[Score]]&gt;=50),0)</f>
        <v/>
      </c>
      <c r="W233" s="43">
        <f>IFERROR(--AND(tblHistory[[#This Row],[Score]]&gt;=60,tblHistory[[#This Row],[BIZD S]]&gt;=0.8,tblHistory[[#This Row],[BKLN S]]&gt;=0.5),0)</f>
        <v/>
      </c>
      <c r="X233" s="43">
        <f>IFERROR(--AND(tblHistory[[#This Row],[Score]]&gt;=70,tblHistory[[#This Row],[SOX S]]&gt;=0.83,tblHistory[[#This Row],[AIQ S]]&gt;=0.8),0)</f>
        <v/>
      </c>
      <c r="Y233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233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233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233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233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234">
      <c r="A234" s="39" t="n">
        <v>45988</v>
      </c>
      <c r="B234" s="40" t="n">
        <v>23812.78</v>
      </c>
      <c r="C234" s="40" t="n">
        <v>11294.71</v>
      </c>
      <c r="D234" s="40" t="n">
        <v>50.45</v>
      </c>
      <c r="E234" s="40" t="n">
        <v>256.67</v>
      </c>
      <c r="F234" s="40" t="n">
        <v>16.28</v>
      </c>
      <c r="G234" s="40" t="n">
        <v>16.61</v>
      </c>
      <c r="H234" s="40" t="n">
        <v>20.7</v>
      </c>
      <c r="I234" s="41" t="n">
        <v>330</v>
      </c>
      <c r="J234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234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234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234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234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234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234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234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234" s="43">
        <f>(Dashboard!$C$13*tblHistory[[#This Row],[NDX S]]+Dashboard!$C$14*tblHistory[[#This Row],[SOX S]]+Dashboard!$C$15*tblHistory[[#This Row],[AIQ S]])/SUM(Dashboard!$C$13:$C$15)*100</f>
        <v/>
      </c>
      <c r="S234" s="43">
        <f>(Dashboard!$C$16*tblHistory[[#This Row],[ORCL S]]+Dashboard!$C$17*tblHistory[[#This Row],[CRWV S]])/SUM(Dashboard!$C$16:$C$17)*100</f>
        <v/>
      </c>
      <c r="T234" s="43">
        <f>(Dashboard!$C$18*tblHistory[[#This Row],[BIZD S]]+Dashboard!$C$19*tblHistory[[#This Row],[BKLN S]]+Dashboard!$C$20*tblHistory[[#This Row],[HY S]])/SUM(Dashboard!$C$18:$C$20)*100</f>
        <v/>
      </c>
      <c r="U234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234" s="43">
        <f>IFERROR(--(tblHistory[[#This Row],[Score]]&gt;=50),0)</f>
        <v/>
      </c>
      <c r="W234" s="43">
        <f>IFERROR(--AND(tblHistory[[#This Row],[Score]]&gt;=60,tblHistory[[#This Row],[BIZD S]]&gt;=0.8,tblHistory[[#This Row],[BKLN S]]&gt;=0.5),0)</f>
        <v/>
      </c>
      <c r="X234" s="43">
        <f>IFERROR(--AND(tblHistory[[#This Row],[Score]]&gt;=70,tblHistory[[#This Row],[SOX S]]&gt;=0.83,tblHistory[[#This Row],[AIQ S]]&gt;=0.8),0)</f>
        <v/>
      </c>
      <c r="Y234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234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234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234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234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235">
      <c r="A235" s="39" t="n">
        <v>45987</v>
      </c>
      <c r="B235" s="40" t="n">
        <v>23576.79</v>
      </c>
      <c r="C235" s="40" t="n">
        <v>10765.21</v>
      </c>
      <c r="D235" s="40" t="n">
        <v>51.41</v>
      </c>
      <c r="E235" s="40" t="n">
        <v>260.89</v>
      </c>
      <c r="F235" s="40" t="n">
        <v>16.6</v>
      </c>
      <c r="G235" s="40" t="n">
        <v>16.65</v>
      </c>
      <c r="H235" s="40" t="n">
        <v>20.73</v>
      </c>
      <c r="I235" s="41" t="n">
        <v>320</v>
      </c>
      <c r="J235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235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235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235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235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235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235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235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235" s="43">
        <f>(Dashboard!$C$13*tblHistory[[#This Row],[NDX S]]+Dashboard!$C$14*tblHistory[[#This Row],[SOX S]]+Dashboard!$C$15*tblHistory[[#This Row],[AIQ S]])/SUM(Dashboard!$C$13:$C$15)*100</f>
        <v/>
      </c>
      <c r="S235" s="43">
        <f>(Dashboard!$C$16*tblHistory[[#This Row],[ORCL S]]+Dashboard!$C$17*tblHistory[[#This Row],[CRWV S]])/SUM(Dashboard!$C$16:$C$17)*100</f>
        <v/>
      </c>
      <c r="T235" s="43">
        <f>(Dashboard!$C$18*tblHistory[[#This Row],[BIZD S]]+Dashboard!$C$19*tblHistory[[#This Row],[BKLN S]]+Dashboard!$C$20*tblHistory[[#This Row],[HY S]])/SUM(Dashboard!$C$18:$C$20)*100</f>
        <v/>
      </c>
      <c r="U235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235" s="43">
        <f>IFERROR(--(tblHistory[[#This Row],[Score]]&gt;=50),0)</f>
        <v/>
      </c>
      <c r="W235" s="43">
        <f>IFERROR(--AND(tblHistory[[#This Row],[Score]]&gt;=60,tblHistory[[#This Row],[BIZD S]]&gt;=0.8,tblHistory[[#This Row],[BKLN S]]&gt;=0.5),0)</f>
        <v/>
      </c>
      <c r="X235" s="43">
        <f>IFERROR(--AND(tblHistory[[#This Row],[Score]]&gt;=70,tblHistory[[#This Row],[SOX S]]&gt;=0.83,tblHistory[[#This Row],[AIQ S]]&gt;=0.8),0)</f>
        <v/>
      </c>
      <c r="Y235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235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235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235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235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236">
      <c r="A236" s="39" t="n">
        <v>45986</v>
      </c>
      <c r="B236" s="40" t="n">
        <v>23692.67</v>
      </c>
      <c r="C236" s="40" t="n">
        <v>11023.31</v>
      </c>
      <c r="D236" s="40" t="n">
        <v>51.77</v>
      </c>
      <c r="E236" s="40" t="n">
        <v>259.02</v>
      </c>
      <c r="F236" s="40" t="n">
        <v>16.37</v>
      </c>
      <c r="G236" s="40" t="n">
        <v>16.58</v>
      </c>
      <c r="H236" s="40" t="n">
        <v>20.75</v>
      </c>
      <c r="I236" s="41" t="n">
        <v>325</v>
      </c>
      <c r="J236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236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236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236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236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236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236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236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236" s="43">
        <f>(Dashboard!$C$13*tblHistory[[#This Row],[NDX S]]+Dashboard!$C$14*tblHistory[[#This Row],[SOX S]]+Dashboard!$C$15*tblHistory[[#This Row],[AIQ S]])/SUM(Dashboard!$C$13:$C$15)*100</f>
        <v/>
      </c>
      <c r="S236" s="43">
        <f>(Dashboard!$C$16*tblHistory[[#This Row],[ORCL S]]+Dashboard!$C$17*tblHistory[[#This Row],[CRWV S]])/SUM(Dashboard!$C$16:$C$17)*100</f>
        <v/>
      </c>
      <c r="T236" s="43">
        <f>(Dashboard!$C$18*tblHistory[[#This Row],[BIZD S]]+Dashboard!$C$19*tblHistory[[#This Row],[BKLN S]]+Dashboard!$C$20*tblHistory[[#This Row],[HY S]])/SUM(Dashboard!$C$18:$C$20)*100</f>
        <v/>
      </c>
      <c r="U236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236" s="43">
        <f>IFERROR(--(tblHistory[[#This Row],[Score]]&gt;=50),0)</f>
        <v/>
      </c>
      <c r="W236" s="43">
        <f>IFERROR(--AND(tblHistory[[#This Row],[Score]]&gt;=60,tblHistory[[#This Row],[BIZD S]]&gt;=0.8,tblHistory[[#This Row],[BKLN S]]&gt;=0.5),0)</f>
        <v/>
      </c>
      <c r="X236" s="43">
        <f>IFERROR(--AND(tblHistory[[#This Row],[Score]]&gt;=70,tblHistory[[#This Row],[SOX S]]&gt;=0.83,tblHistory[[#This Row],[AIQ S]]&gt;=0.8),0)</f>
        <v/>
      </c>
      <c r="Y236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236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236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236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236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237">
      <c r="A237" s="39" t="n">
        <v>45985</v>
      </c>
      <c r="B237" s="40" t="n">
        <v>23595.91</v>
      </c>
      <c r="C237" s="40" t="n">
        <v>10959.69</v>
      </c>
      <c r="D237" s="40" t="n">
        <v>51.14</v>
      </c>
      <c r="E237" s="40" t="n">
        <v>258.94</v>
      </c>
      <c r="F237" s="40" t="n">
        <v>16.32</v>
      </c>
      <c r="G237" s="40" t="n">
        <v>16.69</v>
      </c>
      <c r="H237" s="40" t="n">
        <v>20.82</v>
      </c>
      <c r="I237" s="41" t="n">
        <v>317</v>
      </c>
      <c r="J237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237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237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237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237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237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237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237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237" s="43">
        <f>(Dashboard!$C$13*tblHistory[[#This Row],[NDX S]]+Dashboard!$C$14*tblHistory[[#This Row],[SOX S]]+Dashboard!$C$15*tblHistory[[#This Row],[AIQ S]])/SUM(Dashboard!$C$13:$C$15)*100</f>
        <v/>
      </c>
      <c r="S237" s="43">
        <f>(Dashboard!$C$16*tblHistory[[#This Row],[ORCL S]]+Dashboard!$C$17*tblHistory[[#This Row],[CRWV S]])/SUM(Dashboard!$C$16:$C$17)*100</f>
        <v/>
      </c>
      <c r="T237" s="43">
        <f>(Dashboard!$C$18*tblHistory[[#This Row],[BIZD S]]+Dashboard!$C$19*tblHistory[[#This Row],[BKLN S]]+Dashboard!$C$20*tblHistory[[#This Row],[HY S]])/SUM(Dashboard!$C$18:$C$20)*100</f>
        <v/>
      </c>
      <c r="U237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237" s="43">
        <f>IFERROR(--(tblHistory[[#This Row],[Score]]&gt;=50),0)</f>
        <v/>
      </c>
      <c r="W237" s="43">
        <f>IFERROR(--AND(tblHistory[[#This Row],[Score]]&gt;=60,tblHistory[[#This Row],[BIZD S]]&gt;=0.8,tblHistory[[#This Row],[BKLN S]]&gt;=0.5),0)</f>
        <v/>
      </c>
      <c r="X237" s="43">
        <f>IFERROR(--AND(tblHistory[[#This Row],[Score]]&gt;=70,tblHistory[[#This Row],[SOX S]]&gt;=0.83,tblHistory[[#This Row],[AIQ S]]&gt;=0.8),0)</f>
        <v/>
      </c>
      <c r="Y237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237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237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237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237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238">
      <c r="A238" s="39" t="n">
        <v>45982</v>
      </c>
      <c r="B238" s="40" t="n">
        <v>23830.69</v>
      </c>
      <c r="C238" s="40" t="n">
        <v>10697.07</v>
      </c>
      <c r="D238" s="40" t="n">
        <v>50.5</v>
      </c>
      <c r="E238" s="40" t="n">
        <v>257.81</v>
      </c>
      <c r="F238" s="40" t="n">
        <v>15.74</v>
      </c>
      <c r="G238" s="40" t="n">
        <v>16.57</v>
      </c>
      <c r="H238" s="40" t="n">
        <v>20.82</v>
      </c>
      <c r="I238" s="41" t="n">
        <v>313</v>
      </c>
      <c r="J238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238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238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238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238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238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238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238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238" s="43">
        <f>(Dashboard!$C$13*tblHistory[[#This Row],[NDX S]]+Dashboard!$C$14*tblHistory[[#This Row],[SOX S]]+Dashboard!$C$15*tblHistory[[#This Row],[AIQ S]])/SUM(Dashboard!$C$13:$C$15)*100</f>
        <v/>
      </c>
      <c r="S238" s="43">
        <f>(Dashboard!$C$16*tblHistory[[#This Row],[ORCL S]]+Dashboard!$C$17*tblHistory[[#This Row],[CRWV S]])/SUM(Dashboard!$C$16:$C$17)*100</f>
        <v/>
      </c>
      <c r="T238" s="43">
        <f>(Dashboard!$C$18*tblHistory[[#This Row],[BIZD S]]+Dashboard!$C$19*tblHistory[[#This Row],[BKLN S]]+Dashboard!$C$20*tblHistory[[#This Row],[HY S]])/SUM(Dashboard!$C$18:$C$20)*100</f>
        <v/>
      </c>
      <c r="U238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238" s="43">
        <f>IFERROR(--(tblHistory[[#This Row],[Score]]&gt;=50),0)</f>
        <v/>
      </c>
      <c r="W238" s="43">
        <f>IFERROR(--AND(tblHistory[[#This Row],[Score]]&gt;=60,tblHistory[[#This Row],[BIZD S]]&gt;=0.8,tblHistory[[#This Row],[BKLN S]]&gt;=0.5),0)</f>
        <v/>
      </c>
      <c r="X238" s="43">
        <f>IFERROR(--AND(tblHistory[[#This Row],[Score]]&gt;=70,tblHistory[[#This Row],[SOX S]]&gt;=0.83,tblHistory[[#This Row],[AIQ S]]&gt;=0.8),0)</f>
        <v/>
      </c>
      <c r="Y238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238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238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238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238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239">
      <c r="A239" s="39" t="n">
        <v>45981</v>
      </c>
      <c r="B239" s="40" t="n">
        <v>24462.34</v>
      </c>
      <c r="C239" s="40" t="n">
        <v>10615.54</v>
      </c>
      <c r="D239" s="40" t="n">
        <v>51.37</v>
      </c>
      <c r="E239" s="40" t="n">
        <v>261.89</v>
      </c>
      <c r="F239" s="40" t="n">
        <v>15.5</v>
      </c>
      <c r="G239" s="40" t="n">
        <v>16.44</v>
      </c>
      <c r="H239" s="40" t="n">
        <v>20.84</v>
      </c>
      <c r="I239" s="41" t="n">
        <v>304</v>
      </c>
      <c r="J239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239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239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239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239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239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239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239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239" s="43">
        <f>(Dashboard!$C$13*tblHistory[[#This Row],[NDX S]]+Dashboard!$C$14*tblHistory[[#This Row],[SOX S]]+Dashboard!$C$15*tblHistory[[#This Row],[AIQ S]])/SUM(Dashboard!$C$13:$C$15)*100</f>
        <v/>
      </c>
      <c r="S239" s="43">
        <f>(Dashboard!$C$16*tblHistory[[#This Row],[ORCL S]]+Dashboard!$C$17*tblHistory[[#This Row],[CRWV S]])/SUM(Dashboard!$C$16:$C$17)*100</f>
        <v/>
      </c>
      <c r="T239" s="43">
        <f>(Dashboard!$C$18*tblHistory[[#This Row],[BIZD S]]+Dashboard!$C$19*tblHistory[[#This Row],[BKLN S]]+Dashboard!$C$20*tblHistory[[#This Row],[HY S]])/SUM(Dashboard!$C$18:$C$20)*100</f>
        <v/>
      </c>
      <c r="U239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239" s="43">
        <f>IFERROR(--(tblHistory[[#This Row],[Score]]&gt;=50),0)</f>
        <v/>
      </c>
      <c r="W239" s="43">
        <f>IFERROR(--AND(tblHistory[[#This Row],[Score]]&gt;=60,tblHistory[[#This Row],[BIZD S]]&gt;=0.8,tblHistory[[#This Row],[BKLN S]]&gt;=0.5),0)</f>
        <v/>
      </c>
      <c r="X239" s="43">
        <f>IFERROR(--AND(tblHistory[[#This Row],[Score]]&gt;=70,tblHistory[[#This Row],[SOX S]]&gt;=0.83,tblHistory[[#This Row],[AIQ S]]&gt;=0.8),0)</f>
        <v/>
      </c>
      <c r="Y239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239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239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239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239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240">
      <c r="A240" s="39" t="n">
        <v>45980</v>
      </c>
      <c r="B240" s="40" t="n">
        <v>24528.62</v>
      </c>
      <c r="C240" s="40" t="n">
        <v>10606.87</v>
      </c>
      <c r="D240" s="40" t="n">
        <v>50.63</v>
      </c>
      <c r="E240" s="40" t="n">
        <v>262.32</v>
      </c>
      <c r="F240" s="40" t="n">
        <v>15.06</v>
      </c>
      <c r="G240" s="40" t="n">
        <v>16.38</v>
      </c>
      <c r="H240" s="40" t="n">
        <v>20.82</v>
      </c>
      <c r="I240" s="41" t="n">
        <v>292</v>
      </c>
      <c r="J240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240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240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240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240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240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240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240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240" s="43">
        <f>(Dashboard!$C$13*tblHistory[[#This Row],[NDX S]]+Dashboard!$C$14*tblHistory[[#This Row],[SOX S]]+Dashboard!$C$15*tblHistory[[#This Row],[AIQ S]])/SUM(Dashboard!$C$13:$C$15)*100</f>
        <v/>
      </c>
      <c r="S240" s="43">
        <f>(Dashboard!$C$16*tblHistory[[#This Row],[ORCL S]]+Dashboard!$C$17*tblHistory[[#This Row],[CRWV S]])/SUM(Dashboard!$C$16:$C$17)*100</f>
        <v/>
      </c>
      <c r="T240" s="43">
        <f>(Dashboard!$C$18*tblHistory[[#This Row],[BIZD S]]+Dashboard!$C$19*tblHistory[[#This Row],[BKLN S]]+Dashboard!$C$20*tblHistory[[#This Row],[HY S]])/SUM(Dashboard!$C$18:$C$20)*100</f>
        <v/>
      </c>
      <c r="U240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240" s="43">
        <f>IFERROR(--(tblHistory[[#This Row],[Score]]&gt;=50),0)</f>
        <v/>
      </c>
      <c r="W240" s="43">
        <f>IFERROR(--AND(tblHistory[[#This Row],[Score]]&gt;=60,tblHistory[[#This Row],[BIZD S]]&gt;=0.8,tblHistory[[#This Row],[BKLN S]]&gt;=0.5),0)</f>
        <v/>
      </c>
      <c r="X240" s="43">
        <f>IFERROR(--AND(tblHistory[[#This Row],[Score]]&gt;=70,tblHistory[[#This Row],[SOX S]]&gt;=0.83,tblHistory[[#This Row],[AIQ S]]&gt;=0.8),0)</f>
        <v/>
      </c>
      <c r="Y240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240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240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240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240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241">
      <c r="A241" s="39" t="n">
        <v>45979</v>
      </c>
      <c r="B241" s="40" t="n">
        <v>24301.65</v>
      </c>
      <c r="C241" s="40" t="n">
        <v>10285.73</v>
      </c>
      <c r="D241" s="40" t="n">
        <v>50.04</v>
      </c>
      <c r="E241" s="40" t="n">
        <v>263.21</v>
      </c>
      <c r="F241" s="40" t="n">
        <v>15.33</v>
      </c>
      <c r="G241" s="40" t="n">
        <v>16.33</v>
      </c>
      <c r="H241" s="40" t="n">
        <v>20.82</v>
      </c>
      <c r="I241" s="41" t="n">
        <v>296</v>
      </c>
      <c r="J241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241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241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241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241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241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241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241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241" s="43">
        <f>(Dashboard!$C$13*tblHistory[[#This Row],[NDX S]]+Dashboard!$C$14*tblHistory[[#This Row],[SOX S]]+Dashboard!$C$15*tblHistory[[#This Row],[AIQ S]])/SUM(Dashboard!$C$13:$C$15)*100</f>
        <v/>
      </c>
      <c r="S241" s="43">
        <f>(Dashboard!$C$16*tblHistory[[#This Row],[ORCL S]]+Dashboard!$C$17*tblHistory[[#This Row],[CRWV S]])/SUM(Dashboard!$C$16:$C$17)*100</f>
        <v/>
      </c>
      <c r="T241" s="43">
        <f>(Dashboard!$C$18*tblHistory[[#This Row],[BIZD S]]+Dashboard!$C$19*tblHistory[[#This Row],[BKLN S]]+Dashboard!$C$20*tblHistory[[#This Row],[HY S]])/SUM(Dashboard!$C$18:$C$20)*100</f>
        <v/>
      </c>
      <c r="U241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241" s="43">
        <f>IFERROR(--(tblHistory[[#This Row],[Score]]&gt;=50),0)</f>
        <v/>
      </c>
      <c r="W241" s="43">
        <f>IFERROR(--AND(tblHistory[[#This Row],[Score]]&gt;=60,tblHistory[[#This Row],[BIZD S]]&gt;=0.8,tblHistory[[#This Row],[BKLN S]]&gt;=0.5),0)</f>
        <v/>
      </c>
      <c r="X241" s="43">
        <f>IFERROR(--AND(tblHistory[[#This Row],[Score]]&gt;=70,tblHistory[[#This Row],[SOX S]]&gt;=0.83,tblHistory[[#This Row],[AIQ S]]&gt;=0.8),0)</f>
        <v/>
      </c>
      <c r="Y241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241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241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241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241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242">
      <c r="A242" s="39" t="n">
        <v>45978</v>
      </c>
      <c r="B242" s="40" t="n">
        <v>24859.75</v>
      </c>
      <c r="C242" s="40" t="n">
        <v>10172.94</v>
      </c>
      <c r="D242" s="40" t="n">
        <v>50.55</v>
      </c>
      <c r="E242" s="40" t="n">
        <v>261.56</v>
      </c>
      <c r="F242" s="40" t="n">
        <v>14.42</v>
      </c>
      <c r="G242" s="40" t="n">
        <v>16.36</v>
      </c>
      <c r="H242" s="40" t="n">
        <v>20.76</v>
      </c>
      <c r="I242" s="41" t="n">
        <v>308</v>
      </c>
      <c r="J242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242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242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242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242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242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242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242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242" s="43">
        <f>(Dashboard!$C$13*tblHistory[[#This Row],[NDX S]]+Dashboard!$C$14*tblHistory[[#This Row],[SOX S]]+Dashboard!$C$15*tblHistory[[#This Row],[AIQ S]])/SUM(Dashboard!$C$13:$C$15)*100</f>
        <v/>
      </c>
      <c r="S242" s="43">
        <f>(Dashboard!$C$16*tblHistory[[#This Row],[ORCL S]]+Dashboard!$C$17*tblHistory[[#This Row],[CRWV S]])/SUM(Dashboard!$C$16:$C$17)*100</f>
        <v/>
      </c>
      <c r="T242" s="43">
        <f>(Dashboard!$C$18*tblHistory[[#This Row],[BIZD S]]+Dashboard!$C$19*tblHistory[[#This Row],[BKLN S]]+Dashboard!$C$20*tblHistory[[#This Row],[HY S]])/SUM(Dashboard!$C$18:$C$20)*100</f>
        <v/>
      </c>
      <c r="U242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242" s="43">
        <f>IFERROR(--(tblHistory[[#This Row],[Score]]&gt;=50),0)</f>
        <v/>
      </c>
      <c r="W242" s="43">
        <f>IFERROR(--AND(tblHistory[[#This Row],[Score]]&gt;=60,tblHistory[[#This Row],[BIZD S]]&gt;=0.8,tblHistory[[#This Row],[BKLN S]]&gt;=0.5),0)</f>
        <v/>
      </c>
      <c r="X242" s="43">
        <f>IFERROR(--AND(tblHistory[[#This Row],[Score]]&gt;=70,tblHistory[[#This Row],[SOX S]]&gt;=0.83,tblHistory[[#This Row],[AIQ S]]&gt;=0.8),0)</f>
        <v/>
      </c>
      <c r="Y242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242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242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242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242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243">
      <c r="A243" s="39" t="n">
        <v>45975</v>
      </c>
      <c r="B243" s="40" t="n">
        <v>25036.86</v>
      </c>
      <c r="C243" s="40" t="n">
        <v>10242.88</v>
      </c>
      <c r="D243" s="40" t="n">
        <v>51.02</v>
      </c>
      <c r="E243" s="40" t="n">
        <v>258.88</v>
      </c>
      <c r="F243" s="40" t="n">
        <v>13.56</v>
      </c>
      <c r="G243" s="40" t="n">
        <v>16.58</v>
      </c>
      <c r="H243" s="40" t="n">
        <v>20.73</v>
      </c>
      <c r="I243" s="41" t="n">
        <v>311</v>
      </c>
      <c r="J243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243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243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243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243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243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243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243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243" s="43">
        <f>(Dashboard!$C$13*tblHistory[[#This Row],[NDX S]]+Dashboard!$C$14*tblHistory[[#This Row],[SOX S]]+Dashboard!$C$15*tblHistory[[#This Row],[AIQ S]])/SUM(Dashboard!$C$13:$C$15)*100</f>
        <v/>
      </c>
      <c r="S243" s="43">
        <f>(Dashboard!$C$16*tblHistory[[#This Row],[ORCL S]]+Dashboard!$C$17*tblHistory[[#This Row],[CRWV S]])/SUM(Dashboard!$C$16:$C$17)*100</f>
        <v/>
      </c>
      <c r="T243" s="43">
        <f>(Dashboard!$C$18*tblHistory[[#This Row],[BIZD S]]+Dashboard!$C$19*tblHistory[[#This Row],[BKLN S]]+Dashboard!$C$20*tblHistory[[#This Row],[HY S]])/SUM(Dashboard!$C$18:$C$20)*100</f>
        <v/>
      </c>
      <c r="U243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243" s="43">
        <f>IFERROR(--(tblHistory[[#This Row],[Score]]&gt;=50),0)</f>
        <v/>
      </c>
      <c r="W243" s="43">
        <f>IFERROR(--AND(tblHistory[[#This Row],[Score]]&gt;=60,tblHistory[[#This Row],[BIZD S]]&gt;=0.8,tblHistory[[#This Row],[BKLN S]]&gt;=0.5),0)</f>
        <v/>
      </c>
      <c r="X243" s="43">
        <f>IFERROR(--AND(tblHistory[[#This Row],[Score]]&gt;=70,tblHistory[[#This Row],[SOX S]]&gt;=0.83,tblHistory[[#This Row],[AIQ S]]&gt;=0.8),0)</f>
        <v/>
      </c>
      <c r="Y243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243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243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243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243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244">
      <c r="A244" s="39" t="n">
        <v>45974</v>
      </c>
      <c r="B244" s="40" t="n">
        <v>24923.62</v>
      </c>
      <c r="C244" s="40" t="n">
        <v>10219.84</v>
      </c>
      <c r="D244" s="40" t="n">
        <v>51.73</v>
      </c>
      <c r="E244" s="40" t="n">
        <v>255.2</v>
      </c>
      <c r="F244" s="40" t="n">
        <v>13.4</v>
      </c>
      <c r="G244" s="40" t="n">
        <v>16.49</v>
      </c>
      <c r="H244" s="40" t="n">
        <v>20.67</v>
      </c>
      <c r="I244" s="41" t="n">
        <v>315</v>
      </c>
      <c r="J244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244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244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244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244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244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244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244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244" s="43">
        <f>(Dashboard!$C$13*tblHistory[[#This Row],[NDX S]]+Dashboard!$C$14*tblHistory[[#This Row],[SOX S]]+Dashboard!$C$15*tblHistory[[#This Row],[AIQ S]])/SUM(Dashboard!$C$13:$C$15)*100</f>
        <v/>
      </c>
      <c r="S244" s="43">
        <f>(Dashboard!$C$16*tblHistory[[#This Row],[ORCL S]]+Dashboard!$C$17*tblHistory[[#This Row],[CRWV S]])/SUM(Dashboard!$C$16:$C$17)*100</f>
        <v/>
      </c>
      <c r="T244" s="43">
        <f>(Dashboard!$C$18*tblHistory[[#This Row],[BIZD S]]+Dashboard!$C$19*tblHistory[[#This Row],[BKLN S]]+Dashboard!$C$20*tblHistory[[#This Row],[HY S]])/SUM(Dashboard!$C$18:$C$20)*100</f>
        <v/>
      </c>
      <c r="U244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244" s="43">
        <f>IFERROR(--(tblHistory[[#This Row],[Score]]&gt;=50),0)</f>
        <v/>
      </c>
      <c r="W244" s="43">
        <f>IFERROR(--AND(tblHistory[[#This Row],[Score]]&gt;=60,tblHistory[[#This Row],[BIZD S]]&gt;=0.8,tblHistory[[#This Row],[BKLN S]]&gt;=0.5),0)</f>
        <v/>
      </c>
      <c r="X244" s="43">
        <f>IFERROR(--AND(tblHistory[[#This Row],[Score]]&gt;=70,tblHistory[[#This Row],[SOX S]]&gt;=0.83,tblHistory[[#This Row],[AIQ S]]&gt;=0.8),0)</f>
        <v/>
      </c>
      <c r="Y244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244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244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244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244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245">
      <c r="A245" s="39" t="n">
        <v>45973</v>
      </c>
      <c r="B245" s="40" t="n">
        <v>25624.2</v>
      </c>
      <c r="C245" s="40" t="n">
        <v>10047.41</v>
      </c>
      <c r="D245" s="40" t="n">
        <v>51.97</v>
      </c>
      <c r="E245" s="40" t="n">
        <v>255.13</v>
      </c>
      <c r="F245" s="40" t="n">
        <v>13.56</v>
      </c>
      <c r="G245" s="40" t="n">
        <v>16.52</v>
      </c>
      <c r="H245" s="40" t="n">
        <v>20.67</v>
      </c>
      <c r="I245" s="41" t="n">
        <v>315</v>
      </c>
      <c r="J245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245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245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245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245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245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245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245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245" s="43">
        <f>(Dashboard!$C$13*tblHistory[[#This Row],[NDX S]]+Dashboard!$C$14*tblHistory[[#This Row],[SOX S]]+Dashboard!$C$15*tblHistory[[#This Row],[AIQ S]])/SUM(Dashboard!$C$13:$C$15)*100</f>
        <v/>
      </c>
      <c r="S245" s="43">
        <f>(Dashboard!$C$16*tblHistory[[#This Row],[ORCL S]]+Dashboard!$C$17*tblHistory[[#This Row],[CRWV S]])/SUM(Dashboard!$C$16:$C$17)*100</f>
        <v/>
      </c>
      <c r="T245" s="43">
        <f>(Dashboard!$C$18*tblHistory[[#This Row],[BIZD S]]+Dashboard!$C$19*tblHistory[[#This Row],[BKLN S]]+Dashboard!$C$20*tblHistory[[#This Row],[HY S]])/SUM(Dashboard!$C$18:$C$20)*100</f>
        <v/>
      </c>
      <c r="U245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245" s="43">
        <f>IFERROR(--(tblHistory[[#This Row],[Score]]&gt;=50),0)</f>
        <v/>
      </c>
      <c r="W245" s="43">
        <f>IFERROR(--AND(tblHistory[[#This Row],[Score]]&gt;=60,tblHistory[[#This Row],[BIZD S]]&gt;=0.8,tblHistory[[#This Row],[BKLN S]]&gt;=0.5),0)</f>
        <v/>
      </c>
      <c r="X245" s="43">
        <f>IFERROR(--AND(tblHistory[[#This Row],[Score]]&gt;=70,tblHistory[[#This Row],[SOX S]]&gt;=0.83,tblHistory[[#This Row],[AIQ S]]&gt;=0.8),0)</f>
        <v/>
      </c>
      <c r="Y245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245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245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245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245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246">
      <c r="A246" s="39" t="n">
        <v>45972</v>
      </c>
      <c r="B246" s="40" t="n">
        <v>25497.17</v>
      </c>
      <c r="C246" s="40" t="n">
        <v>10117.19</v>
      </c>
      <c r="D246" s="40" t="n">
        <v>51.24</v>
      </c>
      <c r="E246" s="40" t="n">
        <v>243.58</v>
      </c>
      <c r="F246" s="40" t="n">
        <v>13.66</v>
      </c>
      <c r="G246" s="40" t="n">
        <v>16.55</v>
      </c>
      <c r="H246" s="40" t="n">
        <v>20.63</v>
      </c>
      <c r="I246" s="41" t="n">
        <v>312</v>
      </c>
      <c r="J246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246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246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246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246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246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246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246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246" s="43">
        <f>(Dashboard!$C$13*tblHistory[[#This Row],[NDX S]]+Dashboard!$C$14*tblHistory[[#This Row],[SOX S]]+Dashboard!$C$15*tblHistory[[#This Row],[AIQ S]])/SUM(Dashboard!$C$13:$C$15)*100</f>
        <v/>
      </c>
      <c r="S246" s="43">
        <f>(Dashboard!$C$16*tblHistory[[#This Row],[ORCL S]]+Dashboard!$C$17*tblHistory[[#This Row],[CRWV S]])/SUM(Dashboard!$C$16:$C$17)*100</f>
        <v/>
      </c>
      <c r="T246" s="43">
        <f>(Dashboard!$C$18*tblHistory[[#This Row],[BIZD S]]+Dashboard!$C$19*tblHistory[[#This Row],[BKLN S]]+Dashboard!$C$20*tblHistory[[#This Row],[HY S]])/SUM(Dashboard!$C$18:$C$20)*100</f>
        <v/>
      </c>
      <c r="U246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246" s="43">
        <f>IFERROR(--(tblHistory[[#This Row],[Score]]&gt;=50),0)</f>
        <v/>
      </c>
      <c r="W246" s="43">
        <f>IFERROR(--AND(tblHistory[[#This Row],[Score]]&gt;=60,tblHistory[[#This Row],[BIZD S]]&gt;=0.8,tblHistory[[#This Row],[BKLN S]]&gt;=0.5),0)</f>
        <v/>
      </c>
      <c r="X246" s="43">
        <f>IFERROR(--AND(tblHistory[[#This Row],[Score]]&gt;=70,tblHistory[[#This Row],[SOX S]]&gt;=0.83,tblHistory[[#This Row],[AIQ S]]&gt;=0.8),0)</f>
        <v/>
      </c>
      <c r="Y246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246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246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246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246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247">
      <c r="A247" s="39" t="n">
        <v>45971</v>
      </c>
      <c r="B247" s="40" t="n">
        <v>25845.14</v>
      </c>
      <c r="C247" s="40" t="n">
        <v>10217.52</v>
      </c>
      <c r="D247" s="40" t="n">
        <v>52.16</v>
      </c>
      <c r="E247" s="40" t="n">
        <v>232.39</v>
      </c>
      <c r="F247" s="40" t="n">
        <v>14.23</v>
      </c>
      <c r="G247" s="40" t="n">
        <v>16.85</v>
      </c>
      <c r="H247" s="40" t="n">
        <v>20.65</v>
      </c>
      <c r="I247" s="41" t="n">
        <v>309</v>
      </c>
      <c r="J247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247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247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247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247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247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247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247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247" s="43">
        <f>(Dashboard!$C$13*tblHistory[[#This Row],[NDX S]]+Dashboard!$C$14*tblHistory[[#This Row],[SOX S]]+Dashboard!$C$15*tblHistory[[#This Row],[AIQ S]])/SUM(Dashboard!$C$13:$C$15)*100</f>
        <v/>
      </c>
      <c r="S247" s="43">
        <f>(Dashboard!$C$16*tblHistory[[#This Row],[ORCL S]]+Dashboard!$C$17*tblHistory[[#This Row],[CRWV S]])/SUM(Dashboard!$C$16:$C$17)*100</f>
        <v/>
      </c>
      <c r="T247" s="43">
        <f>(Dashboard!$C$18*tblHistory[[#This Row],[BIZD S]]+Dashboard!$C$19*tblHistory[[#This Row],[BKLN S]]+Dashboard!$C$20*tblHistory[[#This Row],[HY S]])/SUM(Dashboard!$C$18:$C$20)*100</f>
        <v/>
      </c>
      <c r="U247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247" s="43">
        <f>IFERROR(--(tblHistory[[#This Row],[Score]]&gt;=50),0)</f>
        <v/>
      </c>
      <c r="W247" s="43">
        <f>IFERROR(--AND(tblHistory[[#This Row],[Score]]&gt;=60,tblHistory[[#This Row],[BIZD S]]&gt;=0.8,tblHistory[[#This Row],[BKLN S]]&gt;=0.5),0)</f>
        <v/>
      </c>
      <c r="X247" s="43">
        <f>IFERROR(--AND(tblHistory[[#This Row],[Score]]&gt;=70,tblHistory[[#This Row],[SOX S]]&gt;=0.83,tblHistory[[#This Row],[AIQ S]]&gt;=0.8),0)</f>
        <v/>
      </c>
      <c r="Y247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247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247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247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247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248">
      <c r="A248" s="39" t="n">
        <v>45968</v>
      </c>
      <c r="B248" s="40" t="n">
        <v>25866.01</v>
      </c>
      <c r="C248" s="40" t="n">
        <v>10346.38</v>
      </c>
      <c r="D248" s="40" t="n">
        <v>52.02</v>
      </c>
      <c r="E248" s="40" t="n">
        <v>241.78</v>
      </c>
      <c r="F248" s="40" t="n">
        <v>14.33</v>
      </c>
      <c r="G248" s="40" t="n">
        <v>16.88</v>
      </c>
      <c r="H248" s="40" t="n">
        <v>20.66</v>
      </c>
      <c r="I248" s="41" t="n">
        <v>308</v>
      </c>
      <c r="J248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248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248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248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248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248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248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248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248" s="43">
        <f>(Dashboard!$C$13*tblHistory[[#This Row],[NDX S]]+Dashboard!$C$14*tblHistory[[#This Row],[SOX S]]+Dashboard!$C$15*tblHistory[[#This Row],[AIQ S]])/SUM(Dashboard!$C$13:$C$15)*100</f>
        <v/>
      </c>
      <c r="S248" s="43">
        <f>(Dashboard!$C$16*tblHistory[[#This Row],[ORCL S]]+Dashboard!$C$17*tblHistory[[#This Row],[CRWV S]])/SUM(Dashboard!$C$16:$C$17)*100</f>
        <v/>
      </c>
      <c r="T248" s="43">
        <f>(Dashboard!$C$18*tblHistory[[#This Row],[BIZD S]]+Dashboard!$C$19*tblHistory[[#This Row],[BKLN S]]+Dashboard!$C$20*tblHistory[[#This Row],[HY S]])/SUM(Dashboard!$C$18:$C$20)*100</f>
        <v/>
      </c>
      <c r="U248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248" s="43">
        <f>IFERROR(--(tblHistory[[#This Row],[Score]]&gt;=50),0)</f>
        <v/>
      </c>
      <c r="W248" s="43">
        <f>IFERROR(--AND(tblHistory[[#This Row],[Score]]&gt;=60,tblHistory[[#This Row],[BIZD S]]&gt;=0.8,tblHistory[[#This Row],[BKLN S]]&gt;=0.5),0)</f>
        <v/>
      </c>
      <c r="X248" s="43">
        <f>IFERROR(--AND(tblHistory[[#This Row],[Score]]&gt;=70,tblHistory[[#This Row],[SOX S]]&gt;=0.83,tblHistory[[#This Row],[AIQ S]]&gt;=0.8),0)</f>
        <v/>
      </c>
      <c r="Y248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248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248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248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248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249">
      <c r="A249" s="39" t="n">
        <v>45967</v>
      </c>
      <c r="B249" s="40" t="n">
        <v>26330.06</v>
      </c>
      <c r="C249" s="40" t="n">
        <v>10647.11</v>
      </c>
      <c r="D249" s="40" t="n">
        <v>52.12</v>
      </c>
      <c r="E249" s="40" t="n">
        <v>238.37</v>
      </c>
      <c r="F249" s="40" t="n">
        <v>14.59</v>
      </c>
      <c r="G249" s="40" t="n">
        <v>16.94</v>
      </c>
      <c r="H249" s="40" t="n">
        <v>20.67</v>
      </c>
      <c r="I249" s="41" t="n">
        <v>313</v>
      </c>
      <c r="J249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249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249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249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249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249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249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249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249" s="43">
        <f>(Dashboard!$C$13*tblHistory[[#This Row],[NDX S]]+Dashboard!$C$14*tblHistory[[#This Row],[SOX S]]+Dashboard!$C$15*tblHistory[[#This Row],[AIQ S]])/SUM(Dashboard!$C$13:$C$15)*100</f>
        <v/>
      </c>
      <c r="S249" s="43">
        <f>(Dashboard!$C$16*tblHistory[[#This Row],[ORCL S]]+Dashboard!$C$17*tblHistory[[#This Row],[CRWV S]])/SUM(Dashboard!$C$16:$C$17)*100</f>
        <v/>
      </c>
      <c r="T249" s="43">
        <f>(Dashboard!$C$18*tblHistory[[#This Row],[BIZD S]]+Dashboard!$C$19*tblHistory[[#This Row],[BKLN S]]+Dashboard!$C$20*tblHistory[[#This Row],[HY S]])/SUM(Dashboard!$C$18:$C$20)*100</f>
        <v/>
      </c>
      <c r="U249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249" s="43">
        <f>IFERROR(--(tblHistory[[#This Row],[Score]]&gt;=50),0)</f>
        <v/>
      </c>
      <c r="W249" s="43">
        <f>IFERROR(--AND(tblHistory[[#This Row],[Score]]&gt;=60,tblHistory[[#This Row],[BIZD S]]&gt;=0.8,tblHistory[[#This Row],[BKLN S]]&gt;=0.5),0)</f>
        <v/>
      </c>
      <c r="X249" s="43">
        <f>IFERROR(--AND(tblHistory[[#This Row],[Score]]&gt;=70,tblHistory[[#This Row],[SOX S]]&gt;=0.83,tblHistory[[#This Row],[AIQ S]]&gt;=0.8),0)</f>
        <v/>
      </c>
      <c r="Y249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249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249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249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249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250">
      <c r="A250" s="39" t="n">
        <v>45966</v>
      </c>
      <c r="B250" s="40" t="n">
        <v>26558.84</v>
      </c>
      <c r="C250" s="40" t="n">
        <v>10487.15</v>
      </c>
      <c r="D250" s="40" t="n">
        <v>51.81</v>
      </c>
      <c r="E250" s="40" t="n">
        <v>238.33</v>
      </c>
      <c r="F250" s="40" t="n">
        <v>14.66</v>
      </c>
      <c r="G250" s="40" t="n">
        <v>16.98</v>
      </c>
      <c r="H250" s="40" t="n">
        <v>20.59</v>
      </c>
      <c r="I250" s="41" t="n">
        <v>316</v>
      </c>
      <c r="J250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250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250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250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250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250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250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250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250" s="43">
        <f>(Dashboard!$C$13*tblHistory[[#This Row],[NDX S]]+Dashboard!$C$14*tblHistory[[#This Row],[SOX S]]+Dashboard!$C$15*tblHistory[[#This Row],[AIQ S]])/SUM(Dashboard!$C$13:$C$15)*100</f>
        <v/>
      </c>
      <c r="S250" s="43">
        <f>(Dashboard!$C$16*tblHistory[[#This Row],[ORCL S]]+Dashboard!$C$17*tblHistory[[#This Row],[CRWV S]])/SUM(Dashboard!$C$16:$C$17)*100</f>
        <v/>
      </c>
      <c r="T250" s="43">
        <f>(Dashboard!$C$18*tblHistory[[#This Row],[BIZD S]]+Dashboard!$C$19*tblHistory[[#This Row],[BKLN S]]+Dashboard!$C$20*tblHistory[[#This Row],[HY S]])/SUM(Dashboard!$C$18:$C$20)*100</f>
        <v/>
      </c>
      <c r="U250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250" s="43">
        <f>IFERROR(--(tblHistory[[#This Row],[Score]]&gt;=50),0)</f>
        <v/>
      </c>
      <c r="W250" s="43">
        <f>IFERROR(--AND(tblHistory[[#This Row],[Score]]&gt;=60,tblHistory[[#This Row],[BIZD S]]&gt;=0.8,tblHistory[[#This Row],[BKLN S]]&gt;=0.5),0)</f>
        <v/>
      </c>
      <c r="X250" s="43">
        <f>IFERROR(--AND(tblHistory[[#This Row],[Score]]&gt;=70,tblHistory[[#This Row],[SOX S]]&gt;=0.83,tblHistory[[#This Row],[AIQ S]]&gt;=0.8),0)</f>
        <v/>
      </c>
      <c r="Y250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250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250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250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250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251">
      <c r="A251" s="39" t="n">
        <v>45965</v>
      </c>
      <c r="B251" s="40" t="n">
        <v>26831.89</v>
      </c>
      <c r="C251" s="40" t="n">
        <v>10792.89</v>
      </c>
      <c r="D251" s="40" t="n">
        <v>51.42</v>
      </c>
      <c r="E251" s="40" t="n">
        <v>237.59</v>
      </c>
      <c r="F251" s="40" t="n">
        <v>14.11</v>
      </c>
      <c r="G251" s="40" t="n">
        <v>17.13</v>
      </c>
      <c r="H251" s="40" t="n">
        <v>20.64</v>
      </c>
      <c r="I251" s="41" t="n">
        <v>317</v>
      </c>
      <c r="J251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251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251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251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251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251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251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251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251" s="43">
        <f>(Dashboard!$C$13*tblHistory[[#This Row],[NDX S]]+Dashboard!$C$14*tblHistory[[#This Row],[SOX S]]+Dashboard!$C$15*tblHistory[[#This Row],[AIQ S]])/SUM(Dashboard!$C$13:$C$15)*100</f>
        <v/>
      </c>
      <c r="S251" s="43">
        <f>(Dashboard!$C$16*tblHistory[[#This Row],[ORCL S]]+Dashboard!$C$17*tblHistory[[#This Row],[CRWV S]])/SUM(Dashboard!$C$16:$C$17)*100</f>
        <v/>
      </c>
      <c r="T251" s="43">
        <f>(Dashboard!$C$18*tblHistory[[#This Row],[BIZD S]]+Dashboard!$C$19*tblHistory[[#This Row],[BKLN S]]+Dashboard!$C$20*tblHistory[[#This Row],[HY S]])/SUM(Dashboard!$C$18:$C$20)*100</f>
        <v/>
      </c>
      <c r="U251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251" s="43">
        <f>IFERROR(--(tblHistory[[#This Row],[Score]]&gt;=50),0)</f>
        <v/>
      </c>
      <c r="W251" s="43">
        <f>IFERROR(--AND(tblHistory[[#This Row],[Score]]&gt;=60,tblHistory[[#This Row],[BIZD S]]&gt;=0.8,tblHistory[[#This Row],[BKLN S]]&gt;=0.5),0)</f>
        <v/>
      </c>
      <c r="X251" s="43">
        <f>IFERROR(--AND(tblHistory[[#This Row],[Score]]&gt;=70,tblHistory[[#This Row],[SOX S]]&gt;=0.83,tblHistory[[#This Row],[AIQ S]]&gt;=0.8),0)</f>
        <v/>
      </c>
      <c r="Y251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251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251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251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251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252">
      <c r="A252" s="39" t="n">
        <v>45964</v>
      </c>
      <c r="B252" s="40" t="n">
        <v>26998.4</v>
      </c>
      <c r="C252" s="40" t="n">
        <v>10677.03</v>
      </c>
      <c r="D252" s="40" t="n">
        <v>50.5</v>
      </c>
      <c r="E252" s="40" t="n">
        <v>241.29</v>
      </c>
      <c r="F252" s="40" t="n">
        <v>13.77</v>
      </c>
      <c r="G252" s="40" t="n">
        <v>17.32</v>
      </c>
      <c r="H252" s="40" t="n">
        <v>20.7</v>
      </c>
      <c r="I252" s="41" t="n">
        <v>313</v>
      </c>
      <c r="J252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252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252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252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252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252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252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252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252" s="43">
        <f>(Dashboard!$C$13*tblHistory[[#This Row],[NDX S]]+Dashboard!$C$14*tblHistory[[#This Row],[SOX S]]+Dashboard!$C$15*tblHistory[[#This Row],[AIQ S]])/SUM(Dashboard!$C$13:$C$15)*100</f>
        <v/>
      </c>
      <c r="S252" s="43">
        <f>(Dashboard!$C$16*tblHistory[[#This Row],[ORCL S]]+Dashboard!$C$17*tblHistory[[#This Row],[CRWV S]])/SUM(Dashboard!$C$16:$C$17)*100</f>
        <v/>
      </c>
      <c r="T252" s="43">
        <f>(Dashboard!$C$18*tblHistory[[#This Row],[BIZD S]]+Dashboard!$C$19*tblHistory[[#This Row],[BKLN S]]+Dashboard!$C$20*tblHistory[[#This Row],[HY S]])/SUM(Dashboard!$C$18:$C$20)*100</f>
        <v/>
      </c>
      <c r="U252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252" s="43">
        <f>IFERROR(--(tblHistory[[#This Row],[Score]]&gt;=50),0)</f>
        <v/>
      </c>
      <c r="W252" s="43">
        <f>IFERROR(--AND(tblHistory[[#This Row],[Score]]&gt;=60,tblHistory[[#This Row],[BIZD S]]&gt;=0.8,tblHistory[[#This Row],[BKLN S]]&gt;=0.5),0)</f>
        <v/>
      </c>
      <c r="X252" s="43">
        <f>IFERROR(--AND(tblHistory[[#This Row],[Score]]&gt;=70,tblHistory[[#This Row],[SOX S]]&gt;=0.83,tblHistory[[#This Row],[AIQ S]]&gt;=0.8),0)</f>
        <v/>
      </c>
      <c r="Y252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252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252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252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252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253">
      <c r="A253" s="39" t="n">
        <v>45961</v>
      </c>
      <c r="B253" s="40" t="n">
        <v>26685.08</v>
      </c>
      <c r="C253" s="40" t="n">
        <v>10725.97</v>
      </c>
      <c r="D253" s="40" t="n">
        <v>50.16</v>
      </c>
      <c r="E253" s="40" t="n">
        <v>244.01</v>
      </c>
      <c r="F253" s="40" t="n">
        <v>13.99</v>
      </c>
      <c r="G253" s="40" t="n">
        <v>17.27</v>
      </c>
      <c r="H253" s="40" t="n">
        <v>20.78</v>
      </c>
      <c r="I253" s="41" t="n">
        <v>312</v>
      </c>
      <c r="J253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253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253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253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253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253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253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253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253" s="43">
        <f>(Dashboard!$C$13*tblHistory[[#This Row],[NDX S]]+Dashboard!$C$14*tblHistory[[#This Row],[SOX S]]+Dashboard!$C$15*tblHistory[[#This Row],[AIQ S]])/SUM(Dashboard!$C$13:$C$15)*100</f>
        <v/>
      </c>
      <c r="S253" s="43">
        <f>(Dashboard!$C$16*tblHistory[[#This Row],[ORCL S]]+Dashboard!$C$17*tblHistory[[#This Row],[CRWV S]])/SUM(Dashboard!$C$16:$C$17)*100</f>
        <v/>
      </c>
      <c r="T253" s="43">
        <f>(Dashboard!$C$18*tblHistory[[#This Row],[BIZD S]]+Dashboard!$C$19*tblHistory[[#This Row],[BKLN S]]+Dashboard!$C$20*tblHistory[[#This Row],[HY S]])/SUM(Dashboard!$C$18:$C$20)*100</f>
        <v/>
      </c>
      <c r="U253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253" s="43">
        <f>IFERROR(--(tblHistory[[#This Row],[Score]]&gt;=50),0)</f>
        <v/>
      </c>
      <c r="W253" s="43">
        <f>IFERROR(--AND(tblHistory[[#This Row],[Score]]&gt;=60,tblHistory[[#This Row],[BIZD S]]&gt;=0.8,tblHistory[[#This Row],[BKLN S]]&gt;=0.5),0)</f>
        <v/>
      </c>
      <c r="X253" s="43">
        <f>IFERROR(--AND(tblHistory[[#This Row],[Score]]&gt;=70,tblHistory[[#This Row],[SOX S]]&gt;=0.83,tblHistory[[#This Row],[AIQ S]]&gt;=0.8),0)</f>
        <v/>
      </c>
      <c r="Y253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253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253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253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253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254">
      <c r="A254" s="39" t="n">
        <v>45960</v>
      </c>
      <c r="B254" s="40" t="n">
        <v>26874.35</v>
      </c>
      <c r="C254" s="40" t="n">
        <v>10602.62</v>
      </c>
      <c r="D254" s="40" t="n">
        <v>50.82</v>
      </c>
      <c r="E254" s="40" t="n">
        <v>245.47</v>
      </c>
      <c r="F254" s="40" t="n">
        <v>13.58</v>
      </c>
      <c r="G254" s="40" t="n">
        <v>17.33</v>
      </c>
      <c r="H254" s="40" t="n">
        <v>20.78</v>
      </c>
      <c r="I254" s="41" t="n">
        <v>304</v>
      </c>
      <c r="J254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254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254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254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254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254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254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254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254" s="43">
        <f>(Dashboard!$C$13*tblHistory[[#This Row],[NDX S]]+Dashboard!$C$14*tblHistory[[#This Row],[SOX S]]+Dashboard!$C$15*tblHistory[[#This Row],[AIQ S]])/SUM(Dashboard!$C$13:$C$15)*100</f>
        <v/>
      </c>
      <c r="S254" s="43">
        <f>(Dashboard!$C$16*tblHistory[[#This Row],[ORCL S]]+Dashboard!$C$17*tblHistory[[#This Row],[CRWV S]])/SUM(Dashboard!$C$16:$C$17)*100</f>
        <v/>
      </c>
      <c r="T254" s="43">
        <f>(Dashboard!$C$18*tblHistory[[#This Row],[BIZD S]]+Dashboard!$C$19*tblHistory[[#This Row],[BKLN S]]+Dashboard!$C$20*tblHistory[[#This Row],[HY S]])/SUM(Dashboard!$C$18:$C$20)*100</f>
        <v/>
      </c>
      <c r="U254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254" s="43">
        <f>IFERROR(--(tblHistory[[#This Row],[Score]]&gt;=50),0)</f>
        <v/>
      </c>
      <c r="W254" s="43">
        <f>IFERROR(--AND(tblHistory[[#This Row],[Score]]&gt;=60,tblHistory[[#This Row],[BIZD S]]&gt;=0.8,tblHistory[[#This Row],[BKLN S]]&gt;=0.5),0)</f>
        <v/>
      </c>
      <c r="X254" s="43">
        <f>IFERROR(--AND(tblHistory[[#This Row],[Score]]&gt;=70,tblHistory[[#This Row],[SOX S]]&gt;=0.83,tblHistory[[#This Row],[AIQ S]]&gt;=0.8),0)</f>
        <v/>
      </c>
      <c r="Y254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254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254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254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254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255">
      <c r="A255" s="39" t="n">
        <v>45959</v>
      </c>
      <c r="B255" s="40" t="n">
        <v>27367.04</v>
      </c>
      <c r="C255" s="40" t="n">
        <v>10495.62</v>
      </c>
      <c r="D255" s="40" t="n">
        <v>50.87</v>
      </c>
      <c r="E255" s="40" t="n">
        <v>241.66</v>
      </c>
      <c r="F255" s="40" t="n">
        <v>13.54</v>
      </c>
      <c r="G255" s="40" t="n">
        <v>17.41</v>
      </c>
      <c r="H255" s="40" t="n">
        <v>20.77</v>
      </c>
      <c r="I255" s="41" t="n">
        <v>297</v>
      </c>
      <c r="J255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255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255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255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255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255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255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255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255" s="43">
        <f>(Dashboard!$C$13*tblHistory[[#This Row],[NDX S]]+Dashboard!$C$14*tblHistory[[#This Row],[SOX S]]+Dashboard!$C$15*tblHistory[[#This Row],[AIQ S]])/SUM(Dashboard!$C$13:$C$15)*100</f>
        <v/>
      </c>
      <c r="S255" s="43">
        <f>(Dashboard!$C$16*tblHistory[[#This Row],[ORCL S]]+Dashboard!$C$17*tblHistory[[#This Row],[CRWV S]])/SUM(Dashboard!$C$16:$C$17)*100</f>
        <v/>
      </c>
      <c r="T255" s="43">
        <f>(Dashboard!$C$18*tblHistory[[#This Row],[BIZD S]]+Dashboard!$C$19*tblHistory[[#This Row],[BKLN S]]+Dashboard!$C$20*tblHistory[[#This Row],[HY S]])/SUM(Dashboard!$C$18:$C$20)*100</f>
        <v/>
      </c>
      <c r="U255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255" s="43">
        <f>IFERROR(--(tblHistory[[#This Row],[Score]]&gt;=50),0)</f>
        <v/>
      </c>
      <c r="W255" s="43">
        <f>IFERROR(--AND(tblHistory[[#This Row],[Score]]&gt;=60,tblHistory[[#This Row],[BIZD S]]&gt;=0.8,tblHistory[[#This Row],[BKLN S]]&gt;=0.5),0)</f>
        <v/>
      </c>
      <c r="X255" s="43">
        <f>IFERROR(--AND(tblHistory[[#This Row],[Score]]&gt;=70,tblHistory[[#This Row],[SOX S]]&gt;=0.83,tblHistory[[#This Row],[AIQ S]]&gt;=0.8),0)</f>
        <v/>
      </c>
      <c r="Y255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255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255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255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255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256">
      <c r="A256" s="39" t="n">
        <v>45958</v>
      </c>
      <c r="B256" s="40" t="n">
        <v>27740.31</v>
      </c>
      <c r="C256" s="40" t="n">
        <v>10700.67</v>
      </c>
      <c r="D256" s="40" t="n">
        <v>50.96</v>
      </c>
      <c r="E256" s="40" t="n">
        <v>232.05</v>
      </c>
      <c r="F256" s="40" t="n">
        <v>13.4</v>
      </c>
      <c r="G256" s="40" t="n">
        <v>17.43</v>
      </c>
      <c r="H256" s="40" t="n">
        <v>20.79</v>
      </c>
      <c r="I256" s="41" t="n">
        <v>303</v>
      </c>
      <c r="J256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256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256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256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256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256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256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256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256" s="43">
        <f>(Dashboard!$C$13*tblHistory[[#This Row],[NDX S]]+Dashboard!$C$14*tblHistory[[#This Row],[SOX S]]+Dashboard!$C$15*tblHistory[[#This Row],[AIQ S]])/SUM(Dashboard!$C$13:$C$15)*100</f>
        <v/>
      </c>
      <c r="S256" s="43">
        <f>(Dashboard!$C$16*tblHistory[[#This Row],[ORCL S]]+Dashboard!$C$17*tblHistory[[#This Row],[CRWV S]])/SUM(Dashboard!$C$16:$C$17)*100</f>
        <v/>
      </c>
      <c r="T256" s="43">
        <f>(Dashboard!$C$18*tblHistory[[#This Row],[BIZD S]]+Dashboard!$C$19*tblHistory[[#This Row],[BKLN S]]+Dashboard!$C$20*tblHistory[[#This Row],[HY S]])/SUM(Dashboard!$C$18:$C$20)*100</f>
        <v/>
      </c>
      <c r="U256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256" s="43">
        <f>IFERROR(--(tblHistory[[#This Row],[Score]]&gt;=50),0)</f>
        <v/>
      </c>
      <c r="W256" s="43">
        <f>IFERROR(--AND(tblHistory[[#This Row],[Score]]&gt;=60,tblHistory[[#This Row],[BIZD S]]&gt;=0.8,tblHistory[[#This Row],[BKLN S]]&gt;=0.5),0)</f>
        <v/>
      </c>
      <c r="X256" s="43">
        <f>IFERROR(--AND(tblHistory[[#This Row],[Score]]&gt;=70,tblHistory[[#This Row],[SOX S]]&gt;=0.83,tblHistory[[#This Row],[AIQ S]]&gt;=0.8),0)</f>
        <v/>
      </c>
      <c r="Y256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256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256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256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256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257">
      <c r="A257" s="39" t="n">
        <v>45957</v>
      </c>
      <c r="B257" s="40" t="n">
        <v>27668.5</v>
      </c>
      <c r="C257" s="40" t="n">
        <v>10592.6</v>
      </c>
      <c r="D257" s="40" t="n">
        <v>49.77</v>
      </c>
      <c r="E257" s="40" t="n">
        <v>223.56</v>
      </c>
      <c r="F257" s="40" t="n">
        <v>14.48</v>
      </c>
      <c r="G257" s="40" t="n">
        <v>17.35</v>
      </c>
      <c r="H257" s="40" t="n">
        <v>20.77</v>
      </c>
      <c r="I257" s="41" t="n">
        <v>299</v>
      </c>
      <c r="J257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257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257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257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257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257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257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257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257" s="43">
        <f>(Dashboard!$C$13*tblHistory[[#This Row],[NDX S]]+Dashboard!$C$14*tblHistory[[#This Row],[SOX S]]+Dashboard!$C$15*tblHistory[[#This Row],[AIQ S]])/SUM(Dashboard!$C$13:$C$15)*100</f>
        <v/>
      </c>
      <c r="S257" s="43">
        <f>(Dashboard!$C$16*tblHistory[[#This Row],[ORCL S]]+Dashboard!$C$17*tblHistory[[#This Row],[CRWV S]])/SUM(Dashboard!$C$16:$C$17)*100</f>
        <v/>
      </c>
      <c r="T257" s="43">
        <f>(Dashboard!$C$18*tblHistory[[#This Row],[BIZD S]]+Dashboard!$C$19*tblHistory[[#This Row],[BKLN S]]+Dashboard!$C$20*tblHistory[[#This Row],[HY S]])/SUM(Dashboard!$C$18:$C$20)*100</f>
        <v/>
      </c>
      <c r="U257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257" s="43">
        <f>IFERROR(--(tblHistory[[#This Row],[Score]]&gt;=50),0)</f>
        <v/>
      </c>
      <c r="W257" s="43">
        <f>IFERROR(--AND(tblHistory[[#This Row],[Score]]&gt;=60,tblHistory[[#This Row],[BIZD S]]&gt;=0.8,tblHistory[[#This Row],[BKLN S]]&gt;=0.5),0)</f>
        <v/>
      </c>
      <c r="X257" s="43">
        <f>IFERROR(--AND(tblHistory[[#This Row],[Score]]&gt;=70,tblHistory[[#This Row],[SOX S]]&gt;=0.83,tblHistory[[#This Row],[AIQ S]]&gt;=0.8),0)</f>
        <v/>
      </c>
      <c r="Y257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257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257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257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257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258">
      <c r="A258" s="39" t="n">
        <v>45954</v>
      </c>
      <c r="B258" s="40" t="n">
        <v>27386</v>
      </c>
      <c r="C258" s="40" t="n">
        <v>10701.49</v>
      </c>
      <c r="D258" s="40" t="n">
        <v>49.36</v>
      </c>
      <c r="E258" s="40" t="n">
        <v>214.24</v>
      </c>
      <c r="F258" s="40" t="n">
        <v>13.27</v>
      </c>
      <c r="G258" s="40" t="n">
        <v>17.3</v>
      </c>
      <c r="H258" s="40" t="n">
        <v>20.69</v>
      </c>
      <c r="I258" s="41" t="n">
        <v>299</v>
      </c>
      <c r="J258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258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258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258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258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258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258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258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258" s="43">
        <f>(Dashboard!$C$13*tblHistory[[#This Row],[NDX S]]+Dashboard!$C$14*tblHistory[[#This Row],[SOX S]]+Dashboard!$C$15*tblHistory[[#This Row],[AIQ S]])/SUM(Dashboard!$C$13:$C$15)*100</f>
        <v/>
      </c>
      <c r="S258" s="43">
        <f>(Dashboard!$C$16*tblHistory[[#This Row],[ORCL S]]+Dashboard!$C$17*tblHistory[[#This Row],[CRWV S]])/SUM(Dashboard!$C$16:$C$17)*100</f>
        <v/>
      </c>
      <c r="T258" s="43">
        <f>(Dashboard!$C$18*tblHistory[[#This Row],[BIZD S]]+Dashboard!$C$19*tblHistory[[#This Row],[BKLN S]]+Dashboard!$C$20*tblHistory[[#This Row],[HY S]])/SUM(Dashboard!$C$18:$C$20)*100</f>
        <v/>
      </c>
      <c r="U258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258" s="43">
        <f>IFERROR(--(tblHistory[[#This Row],[Score]]&gt;=50),0)</f>
        <v/>
      </c>
      <c r="W258" s="43">
        <f>IFERROR(--AND(tblHistory[[#This Row],[Score]]&gt;=60,tblHistory[[#This Row],[BIZD S]]&gt;=0.8,tblHistory[[#This Row],[BKLN S]]&gt;=0.5),0)</f>
        <v/>
      </c>
      <c r="X258" s="43">
        <f>IFERROR(--AND(tblHistory[[#This Row],[Score]]&gt;=70,tblHistory[[#This Row],[SOX S]]&gt;=0.83,tblHistory[[#This Row],[AIQ S]]&gt;=0.8),0)</f>
        <v/>
      </c>
      <c r="Y258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258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258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258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258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259">
      <c r="A259" s="39" t="n">
        <v>45953</v>
      </c>
      <c r="B259" s="40" t="n">
        <v>27367.07</v>
      </c>
      <c r="C259" s="40" t="n">
        <v>10830.07</v>
      </c>
      <c r="D259" s="40" t="n">
        <v>48.82</v>
      </c>
      <c r="E259" s="40" t="n">
        <v>205.81</v>
      </c>
      <c r="F259" s="40" t="n">
        <v>13.69</v>
      </c>
      <c r="G259" s="40" t="n">
        <v>17.27</v>
      </c>
      <c r="H259" s="40" t="n">
        <v>20.7</v>
      </c>
      <c r="I259" s="41" t="n">
        <v>304</v>
      </c>
      <c r="J259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259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259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259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259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259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259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259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259" s="43">
        <f>(Dashboard!$C$13*tblHistory[[#This Row],[NDX S]]+Dashboard!$C$14*tblHistory[[#This Row],[SOX S]]+Dashboard!$C$15*tblHistory[[#This Row],[AIQ S]])/SUM(Dashboard!$C$13:$C$15)*100</f>
        <v/>
      </c>
      <c r="S259" s="43">
        <f>(Dashboard!$C$16*tblHistory[[#This Row],[ORCL S]]+Dashboard!$C$17*tblHistory[[#This Row],[CRWV S]])/SUM(Dashboard!$C$16:$C$17)*100</f>
        <v/>
      </c>
      <c r="T259" s="43">
        <f>(Dashboard!$C$18*tblHistory[[#This Row],[BIZD S]]+Dashboard!$C$19*tblHistory[[#This Row],[BKLN S]]+Dashboard!$C$20*tblHistory[[#This Row],[HY S]])/SUM(Dashboard!$C$18:$C$20)*100</f>
        <v/>
      </c>
      <c r="U259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259" s="43">
        <f>IFERROR(--(tblHistory[[#This Row],[Score]]&gt;=50),0)</f>
        <v/>
      </c>
      <c r="W259" s="43">
        <f>IFERROR(--AND(tblHistory[[#This Row],[Score]]&gt;=60,tblHistory[[#This Row],[BIZD S]]&gt;=0.8,tblHistory[[#This Row],[BKLN S]]&gt;=0.5),0)</f>
        <v/>
      </c>
      <c r="X259" s="43">
        <f>IFERROR(--AND(tblHistory[[#This Row],[Score]]&gt;=70,tblHistory[[#This Row],[SOX S]]&gt;=0.83,tblHistory[[#This Row],[AIQ S]]&gt;=0.8),0)</f>
        <v/>
      </c>
      <c r="Y259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259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259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259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259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260">
      <c r="A260" s="39" t="n">
        <v>45952</v>
      </c>
      <c r="B260" s="40" t="n">
        <v>27091.71</v>
      </c>
      <c r="C260" s="40" t="n">
        <v>10342.06</v>
      </c>
      <c r="D260" s="40" t="n">
        <v>47.83</v>
      </c>
      <c r="E260" s="40" t="n">
        <v>209.37</v>
      </c>
      <c r="F260" s="40" t="n">
        <v>14.1</v>
      </c>
      <c r="G260" s="40" t="n">
        <v>17.27</v>
      </c>
      <c r="H260" s="40" t="n">
        <v>20.69</v>
      </c>
      <c r="I260" s="41" t="n">
        <v>303</v>
      </c>
      <c r="J260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260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260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260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260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260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260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260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260" s="43">
        <f>(Dashboard!$C$13*tblHistory[[#This Row],[NDX S]]+Dashboard!$C$14*tblHistory[[#This Row],[SOX S]]+Dashboard!$C$15*tblHistory[[#This Row],[AIQ S]])/SUM(Dashboard!$C$13:$C$15)*100</f>
        <v/>
      </c>
      <c r="S260" s="43">
        <f>(Dashboard!$C$16*tblHistory[[#This Row],[ORCL S]]+Dashboard!$C$17*tblHistory[[#This Row],[CRWV S]])/SUM(Dashboard!$C$16:$C$17)*100</f>
        <v/>
      </c>
      <c r="T260" s="43">
        <f>(Dashboard!$C$18*tblHistory[[#This Row],[BIZD S]]+Dashboard!$C$19*tblHistory[[#This Row],[BKLN S]]+Dashboard!$C$20*tblHistory[[#This Row],[HY S]])/SUM(Dashboard!$C$18:$C$20)*100</f>
        <v/>
      </c>
      <c r="U260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260" s="43">
        <f>IFERROR(--(tblHistory[[#This Row],[Score]]&gt;=50),0)</f>
        <v/>
      </c>
      <c r="W260" s="43">
        <f>IFERROR(--AND(tblHistory[[#This Row],[Score]]&gt;=60,tblHistory[[#This Row],[BIZD S]]&gt;=0.8,tblHistory[[#This Row],[BKLN S]]&gt;=0.5),0)</f>
        <v/>
      </c>
      <c r="X260" s="43">
        <f>IFERROR(--AND(tblHistory[[#This Row],[Score]]&gt;=70,tblHistory[[#This Row],[SOX S]]&gt;=0.83,tblHistory[[#This Row],[AIQ S]]&gt;=0.8),0)</f>
        <v/>
      </c>
      <c r="Y260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260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260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260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260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261">
      <c r="A261" s="39" t="n">
        <v>45951</v>
      </c>
      <c r="B261" s="40" t="n">
        <v>26750.11</v>
      </c>
      <c r="C261" s="40" t="n">
        <v>10115.36</v>
      </c>
      <c r="D261" s="40" t="n">
        <v>46.55</v>
      </c>
      <c r="E261" s="40" t="n">
        <v>205.01</v>
      </c>
      <c r="F261" s="40" t="n">
        <v>14.16</v>
      </c>
      <c r="G261" s="40" t="n">
        <v>17.33</v>
      </c>
      <c r="H261" s="40" t="n">
        <v>20.67</v>
      </c>
      <c r="I261" s="41" t="n">
        <v>297</v>
      </c>
      <c r="J261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261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261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261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261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261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261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261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261" s="43">
        <f>(Dashboard!$C$13*tblHistory[[#This Row],[NDX S]]+Dashboard!$C$14*tblHistory[[#This Row],[SOX S]]+Dashboard!$C$15*tblHistory[[#This Row],[AIQ S]])/SUM(Dashboard!$C$13:$C$15)*100</f>
        <v/>
      </c>
      <c r="S261" s="43">
        <f>(Dashboard!$C$16*tblHistory[[#This Row],[ORCL S]]+Dashboard!$C$17*tblHistory[[#This Row],[CRWV S]])/SUM(Dashboard!$C$16:$C$17)*100</f>
        <v/>
      </c>
      <c r="T261" s="43">
        <f>(Dashboard!$C$18*tblHistory[[#This Row],[BIZD S]]+Dashboard!$C$19*tblHistory[[#This Row],[BKLN S]]+Dashboard!$C$20*tblHistory[[#This Row],[HY S]])/SUM(Dashboard!$C$18:$C$20)*100</f>
        <v/>
      </c>
      <c r="U261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261" s="43">
        <f>IFERROR(--(tblHistory[[#This Row],[Score]]&gt;=50),0)</f>
        <v/>
      </c>
      <c r="W261" s="43">
        <f>IFERROR(--AND(tblHistory[[#This Row],[Score]]&gt;=60,tblHistory[[#This Row],[BIZD S]]&gt;=0.8,tblHistory[[#This Row],[BKLN S]]&gt;=0.5),0)</f>
        <v/>
      </c>
      <c r="X261" s="43">
        <f>IFERROR(--AND(tblHistory[[#This Row],[Score]]&gt;=70,tblHistory[[#This Row],[SOX S]]&gt;=0.83,tblHistory[[#This Row],[AIQ S]]&gt;=0.8),0)</f>
        <v/>
      </c>
      <c r="Y261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261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261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261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261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262">
      <c r="A262" s="39" t="n">
        <v>45950</v>
      </c>
      <c r="B262" s="40" t="n">
        <v>26926.55</v>
      </c>
      <c r="C262" s="40" t="n">
        <v>10086.23</v>
      </c>
      <c r="D262" s="40" t="n">
        <v>46.67</v>
      </c>
      <c r="E262" s="40" t="n">
        <v>202.51</v>
      </c>
      <c r="F262" s="40" t="n">
        <v>13.51</v>
      </c>
      <c r="G262" s="40" t="n">
        <v>17.25</v>
      </c>
      <c r="H262" s="40" t="n">
        <v>20.7</v>
      </c>
      <c r="I262" s="41" t="n">
        <v>302</v>
      </c>
      <c r="J262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262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262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262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262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262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262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262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262" s="43">
        <f>(Dashboard!$C$13*tblHistory[[#This Row],[NDX S]]+Dashboard!$C$14*tblHistory[[#This Row],[SOX S]]+Dashboard!$C$15*tblHistory[[#This Row],[AIQ S]])/SUM(Dashboard!$C$13:$C$15)*100</f>
        <v/>
      </c>
      <c r="S262" s="43">
        <f>(Dashboard!$C$16*tblHistory[[#This Row],[ORCL S]]+Dashboard!$C$17*tblHistory[[#This Row],[CRWV S]])/SUM(Dashboard!$C$16:$C$17)*100</f>
        <v/>
      </c>
      <c r="T262" s="43">
        <f>(Dashboard!$C$18*tblHistory[[#This Row],[BIZD S]]+Dashboard!$C$19*tblHistory[[#This Row],[BKLN S]]+Dashboard!$C$20*tblHistory[[#This Row],[HY S]])/SUM(Dashboard!$C$18:$C$20)*100</f>
        <v/>
      </c>
      <c r="U262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262" s="43">
        <f>IFERROR(--(tblHistory[[#This Row],[Score]]&gt;=50),0)</f>
        <v/>
      </c>
      <c r="W262" s="43">
        <f>IFERROR(--AND(tblHistory[[#This Row],[Score]]&gt;=60,tblHistory[[#This Row],[BIZD S]]&gt;=0.8,tblHistory[[#This Row],[BKLN S]]&gt;=0.5),0)</f>
        <v/>
      </c>
      <c r="X262" s="43">
        <f>IFERROR(--AND(tblHistory[[#This Row],[Score]]&gt;=70,tblHistory[[#This Row],[SOX S]]&gt;=0.83,tblHistory[[#This Row],[AIQ S]]&gt;=0.8),0)</f>
        <v/>
      </c>
      <c r="Y262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262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262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262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262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263">
      <c r="A263" s="39" t="n">
        <v>45947</v>
      </c>
      <c r="B263" s="40" t="n">
        <v>27447.29</v>
      </c>
      <c r="C263" s="40" t="n">
        <v>10094</v>
      </c>
      <c r="D263" s="40" t="n">
        <v>45.68</v>
      </c>
      <c r="E263" s="40" t="n">
        <v>205.46</v>
      </c>
      <c r="F263" s="40" t="n">
        <v>13.46</v>
      </c>
      <c r="G263" s="40" t="n">
        <v>17.19</v>
      </c>
      <c r="H263" s="40" t="n">
        <v>20.74</v>
      </c>
      <c r="I263" s="41" t="n">
        <v>306</v>
      </c>
      <c r="J263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263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263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263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263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263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263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263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263" s="43">
        <f>(Dashboard!$C$13*tblHistory[[#This Row],[NDX S]]+Dashboard!$C$14*tblHistory[[#This Row],[SOX S]]+Dashboard!$C$15*tblHistory[[#This Row],[AIQ S]])/SUM(Dashboard!$C$13:$C$15)*100</f>
        <v/>
      </c>
      <c r="S263" s="43">
        <f>(Dashboard!$C$16*tblHistory[[#This Row],[ORCL S]]+Dashboard!$C$17*tblHistory[[#This Row],[CRWV S]])/SUM(Dashboard!$C$16:$C$17)*100</f>
        <v/>
      </c>
      <c r="T263" s="43">
        <f>(Dashboard!$C$18*tblHistory[[#This Row],[BIZD S]]+Dashboard!$C$19*tblHistory[[#This Row],[BKLN S]]+Dashboard!$C$20*tblHistory[[#This Row],[HY S]])/SUM(Dashboard!$C$18:$C$20)*100</f>
        <v/>
      </c>
      <c r="U263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263" s="43">
        <f>IFERROR(--(tblHistory[[#This Row],[Score]]&gt;=50),0)</f>
        <v/>
      </c>
      <c r="W263" s="43">
        <f>IFERROR(--AND(tblHistory[[#This Row],[Score]]&gt;=60,tblHistory[[#This Row],[BIZD S]]&gt;=0.8,tblHistory[[#This Row],[BKLN S]]&gt;=0.5),0)</f>
        <v/>
      </c>
      <c r="X263" s="43">
        <f>IFERROR(--AND(tblHistory[[#This Row],[Score]]&gt;=70,tblHistory[[#This Row],[SOX S]]&gt;=0.83,tblHistory[[#This Row],[AIQ S]]&gt;=0.8),0)</f>
        <v/>
      </c>
      <c r="Y263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263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263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263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263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264">
      <c r="A264" s="39" t="n">
        <v>45946</v>
      </c>
      <c r="B264" s="40" t="n">
        <v>27079.7</v>
      </c>
      <c r="C264" s="40" t="n">
        <v>10047.22</v>
      </c>
      <c r="D264" s="40" t="n">
        <v>45.32</v>
      </c>
      <c r="E264" s="40" t="n">
        <v>203.33</v>
      </c>
      <c r="F264" s="40" t="n">
        <v>13.39</v>
      </c>
      <c r="G264" s="40" t="n">
        <v>17.06</v>
      </c>
      <c r="H264" s="40" t="n">
        <v>20.73</v>
      </c>
      <c r="I264" s="41" t="n">
        <v>308</v>
      </c>
      <c r="J264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264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264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264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264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264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264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264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264" s="43">
        <f>(Dashboard!$C$13*tblHistory[[#This Row],[NDX S]]+Dashboard!$C$14*tblHistory[[#This Row],[SOX S]]+Dashboard!$C$15*tblHistory[[#This Row],[AIQ S]])/SUM(Dashboard!$C$13:$C$15)*100</f>
        <v/>
      </c>
      <c r="S264" s="43">
        <f>(Dashboard!$C$16*tblHistory[[#This Row],[ORCL S]]+Dashboard!$C$17*tblHistory[[#This Row],[CRWV S]])/SUM(Dashboard!$C$16:$C$17)*100</f>
        <v/>
      </c>
      <c r="T264" s="43">
        <f>(Dashboard!$C$18*tblHistory[[#This Row],[BIZD S]]+Dashboard!$C$19*tblHistory[[#This Row],[BKLN S]]+Dashboard!$C$20*tblHistory[[#This Row],[HY S]])/SUM(Dashboard!$C$18:$C$20)*100</f>
        <v/>
      </c>
      <c r="U264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264" s="43">
        <f>IFERROR(--(tblHistory[[#This Row],[Score]]&gt;=50),0)</f>
        <v/>
      </c>
      <c r="W264" s="43">
        <f>IFERROR(--AND(tblHistory[[#This Row],[Score]]&gt;=60,tblHistory[[#This Row],[BIZD S]]&gt;=0.8,tblHistory[[#This Row],[BKLN S]]&gt;=0.5),0)</f>
        <v/>
      </c>
      <c r="X264" s="43">
        <f>IFERROR(--AND(tblHistory[[#This Row],[Score]]&gt;=70,tblHistory[[#This Row],[SOX S]]&gt;=0.83,tblHistory[[#This Row],[AIQ S]]&gt;=0.8),0)</f>
        <v/>
      </c>
      <c r="Y264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264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264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264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264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265">
      <c r="A265" s="39" t="n">
        <v>45945</v>
      </c>
      <c r="B265" s="40" t="n">
        <v>27244.43</v>
      </c>
      <c r="C265" s="40" t="n">
        <v>10176.64</v>
      </c>
      <c r="D265" s="40" t="n">
        <v>45.47</v>
      </c>
      <c r="E265" s="40" t="n">
        <v>200.5</v>
      </c>
      <c r="F265" s="40" t="n">
        <v>14.92</v>
      </c>
      <c r="G265" s="40" t="n">
        <v>16.95</v>
      </c>
      <c r="H265" s="40" t="n">
        <v>20.8</v>
      </c>
      <c r="I265" s="41" t="n">
        <v>313</v>
      </c>
      <c r="J265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265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265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265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265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265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265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265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265" s="43">
        <f>(Dashboard!$C$13*tblHistory[[#This Row],[NDX S]]+Dashboard!$C$14*tblHistory[[#This Row],[SOX S]]+Dashboard!$C$15*tblHistory[[#This Row],[AIQ S]])/SUM(Dashboard!$C$13:$C$15)*100</f>
        <v/>
      </c>
      <c r="S265" s="43">
        <f>(Dashboard!$C$16*tblHistory[[#This Row],[ORCL S]]+Dashboard!$C$17*tblHistory[[#This Row],[CRWV S]])/SUM(Dashboard!$C$16:$C$17)*100</f>
        <v/>
      </c>
      <c r="T265" s="43">
        <f>(Dashboard!$C$18*tblHistory[[#This Row],[BIZD S]]+Dashboard!$C$19*tblHistory[[#This Row],[BKLN S]]+Dashboard!$C$20*tblHistory[[#This Row],[HY S]])/SUM(Dashboard!$C$18:$C$20)*100</f>
        <v/>
      </c>
      <c r="U265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265" s="43">
        <f>IFERROR(--(tblHistory[[#This Row],[Score]]&gt;=50),0)</f>
        <v/>
      </c>
      <c r="W265" s="43">
        <f>IFERROR(--AND(tblHistory[[#This Row],[Score]]&gt;=60,tblHistory[[#This Row],[BIZD S]]&gt;=0.8,tblHistory[[#This Row],[BKLN S]]&gt;=0.5),0)</f>
        <v/>
      </c>
      <c r="X265" s="43">
        <f>IFERROR(--AND(tblHistory[[#This Row],[Score]]&gt;=70,tblHistory[[#This Row],[SOX S]]&gt;=0.83,tblHistory[[#This Row],[AIQ S]]&gt;=0.8),0)</f>
        <v/>
      </c>
      <c r="Y265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265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265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265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265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266">
      <c r="A266" s="39" t="n">
        <v>45944</v>
      </c>
      <c r="B266" s="40" t="n">
        <v>27642.8</v>
      </c>
      <c r="C266" s="40" t="n">
        <v>9935.190000000001</v>
      </c>
      <c r="D266" s="40" t="n">
        <v>45.49</v>
      </c>
      <c r="E266" s="40" t="n">
        <v>198.57</v>
      </c>
      <c r="F266" s="40" t="n">
        <v>15.95</v>
      </c>
      <c r="G266" s="40" t="n">
        <v>17.17</v>
      </c>
      <c r="H266" s="40" t="n">
        <v>20.81</v>
      </c>
      <c r="I266" s="41" t="n"/>
      <c r="J266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266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266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266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266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266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266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266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266" s="43">
        <f>(Dashboard!$C$13*tblHistory[[#This Row],[NDX S]]+Dashboard!$C$14*tblHistory[[#This Row],[SOX S]]+Dashboard!$C$15*tblHistory[[#This Row],[AIQ S]])/SUM(Dashboard!$C$13:$C$15)*100</f>
        <v/>
      </c>
      <c r="S266" s="43">
        <f>(Dashboard!$C$16*tblHistory[[#This Row],[ORCL S]]+Dashboard!$C$17*tblHistory[[#This Row],[CRWV S]])/SUM(Dashboard!$C$16:$C$17)*100</f>
        <v/>
      </c>
      <c r="T266" s="43">
        <f>(Dashboard!$C$18*tblHistory[[#This Row],[BIZD S]]+Dashboard!$C$19*tblHistory[[#This Row],[BKLN S]]+Dashboard!$C$20*tblHistory[[#This Row],[HY S]])/SUM(Dashboard!$C$18:$C$20)*100</f>
        <v/>
      </c>
      <c r="U266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266" s="43">
        <f>IFERROR(--(tblHistory[[#This Row],[Score]]&gt;=50),0)</f>
        <v/>
      </c>
      <c r="W266" s="43">
        <f>IFERROR(--AND(tblHistory[[#This Row],[Score]]&gt;=60,tblHistory[[#This Row],[BIZD S]]&gt;=0.8,tblHistory[[#This Row],[BKLN S]]&gt;=0.5),0)</f>
        <v/>
      </c>
      <c r="X266" s="43">
        <f>IFERROR(--AND(tblHistory[[#This Row],[Score]]&gt;=70,tblHistory[[#This Row],[SOX S]]&gt;=0.83,tblHistory[[#This Row],[AIQ S]]&gt;=0.8),0)</f>
        <v/>
      </c>
      <c r="Y266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266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266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266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266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267">
      <c r="A267" s="39" t="n">
        <v>45943</v>
      </c>
      <c r="B267" s="40" t="n">
        <v>27691.92</v>
      </c>
      <c r="C267" s="40" t="n">
        <v>9920.74</v>
      </c>
      <c r="D267" s="40" t="n">
        <v>45.81</v>
      </c>
      <c r="E267" s="40" t="n">
        <v>194.39</v>
      </c>
      <c r="F267" s="40" t="n">
        <v>17.44</v>
      </c>
      <c r="G267" s="40" t="n">
        <v>17</v>
      </c>
      <c r="H267" s="40" t="n">
        <v>20.79</v>
      </c>
      <c r="I267" s="41" t="n">
        <v>317</v>
      </c>
      <c r="J267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267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267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267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267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267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267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267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267" s="43">
        <f>(Dashboard!$C$13*tblHistory[[#This Row],[NDX S]]+Dashboard!$C$14*tblHistory[[#This Row],[SOX S]]+Dashboard!$C$15*tblHistory[[#This Row],[AIQ S]])/SUM(Dashboard!$C$13:$C$15)*100</f>
        <v/>
      </c>
      <c r="S267" s="43">
        <f>(Dashboard!$C$16*tblHistory[[#This Row],[ORCL S]]+Dashboard!$C$17*tblHistory[[#This Row],[CRWV S]])/SUM(Dashboard!$C$16:$C$17)*100</f>
        <v/>
      </c>
      <c r="T267" s="43">
        <f>(Dashboard!$C$18*tblHistory[[#This Row],[BIZD S]]+Dashboard!$C$19*tblHistory[[#This Row],[BKLN S]]+Dashboard!$C$20*tblHistory[[#This Row],[HY S]])/SUM(Dashboard!$C$18:$C$20)*100</f>
        <v/>
      </c>
      <c r="U267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267" s="43">
        <f>IFERROR(--(tblHistory[[#This Row],[Score]]&gt;=50),0)</f>
        <v/>
      </c>
      <c r="W267" s="43">
        <f>IFERROR(--AND(tblHistory[[#This Row],[Score]]&gt;=60,tblHistory[[#This Row],[BIZD S]]&gt;=0.8,tblHistory[[#This Row],[BKLN S]]&gt;=0.5),0)</f>
        <v/>
      </c>
      <c r="X267" s="43">
        <f>IFERROR(--AND(tblHistory[[#This Row],[Score]]&gt;=70,tblHistory[[#This Row],[SOX S]]&gt;=0.83,tblHistory[[#This Row],[AIQ S]]&gt;=0.8),0)</f>
        <v/>
      </c>
      <c r="Y267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267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267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267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267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268">
      <c r="A268" s="39" t="n">
        <v>45940</v>
      </c>
      <c r="B268" s="40" t="n">
        <v>27345.02</v>
      </c>
      <c r="C268" s="40" t="n">
        <v>9602.65</v>
      </c>
      <c r="D268" s="40" t="n">
        <v>45.26</v>
      </c>
      <c r="E268" s="40" t="n">
        <v>194.64</v>
      </c>
      <c r="F268" s="40" t="n">
        <v>18.02</v>
      </c>
      <c r="G268" s="40" t="n">
        <v>17.13</v>
      </c>
      <c r="H268" s="40" t="n">
        <v>20.83</v>
      </c>
      <c r="I268" s="41" t="n">
        <v>325</v>
      </c>
      <c r="J268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268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268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268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268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268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268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268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268" s="43">
        <f>(Dashboard!$C$13*tblHistory[[#This Row],[NDX S]]+Dashboard!$C$14*tblHistory[[#This Row],[SOX S]]+Dashboard!$C$15*tblHistory[[#This Row],[AIQ S]])/SUM(Dashboard!$C$13:$C$15)*100</f>
        <v/>
      </c>
      <c r="S268" s="43">
        <f>(Dashboard!$C$16*tblHistory[[#This Row],[ORCL S]]+Dashboard!$C$17*tblHistory[[#This Row],[CRWV S]])/SUM(Dashboard!$C$16:$C$17)*100</f>
        <v/>
      </c>
      <c r="T268" s="43">
        <f>(Dashboard!$C$18*tblHistory[[#This Row],[BIZD S]]+Dashboard!$C$19*tblHistory[[#This Row],[BKLN S]]+Dashboard!$C$20*tblHistory[[#This Row],[HY S]])/SUM(Dashboard!$C$18:$C$20)*100</f>
        <v/>
      </c>
      <c r="U268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268" s="43">
        <f>IFERROR(--(tblHistory[[#This Row],[Score]]&gt;=50),0)</f>
        <v/>
      </c>
      <c r="W268" s="43">
        <f>IFERROR(--AND(tblHistory[[#This Row],[Score]]&gt;=60,tblHistory[[#This Row],[BIZD S]]&gt;=0.8,tblHistory[[#This Row],[BKLN S]]&gt;=0.5),0)</f>
        <v/>
      </c>
      <c r="X268" s="43">
        <f>IFERROR(--AND(tblHistory[[#This Row],[Score]]&gt;=70,tblHistory[[#This Row],[SOX S]]&gt;=0.83,tblHistory[[#This Row],[AIQ S]]&gt;=0.8),0)</f>
        <v/>
      </c>
      <c r="Y268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268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268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268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268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269">
      <c r="A269" s="39" t="n">
        <v>45939</v>
      </c>
      <c r="B269" s="40" t="n">
        <v>27155.04</v>
      </c>
      <c r="C269" s="40" t="n">
        <v>9463.040000000001</v>
      </c>
      <c r="D269" s="40" t="n">
        <v>45.23</v>
      </c>
      <c r="E269" s="40" t="n">
        <v>188.38</v>
      </c>
      <c r="F269" s="40" t="n">
        <v>17.71</v>
      </c>
      <c r="G269" s="40" t="n">
        <v>17.3</v>
      </c>
      <c r="H269" s="40" t="n">
        <v>20.83</v>
      </c>
      <c r="I269" s="41" t="n">
        <v>317</v>
      </c>
      <c r="J269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269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269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269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269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269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269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269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269" s="43">
        <f>(Dashboard!$C$13*tblHistory[[#This Row],[NDX S]]+Dashboard!$C$14*tblHistory[[#This Row],[SOX S]]+Dashboard!$C$15*tblHistory[[#This Row],[AIQ S]])/SUM(Dashboard!$C$13:$C$15)*100</f>
        <v/>
      </c>
      <c r="S269" s="43">
        <f>(Dashboard!$C$16*tblHistory[[#This Row],[ORCL S]]+Dashboard!$C$17*tblHistory[[#This Row],[CRWV S]])/SUM(Dashboard!$C$16:$C$17)*100</f>
        <v/>
      </c>
      <c r="T269" s="43">
        <f>(Dashboard!$C$18*tblHistory[[#This Row],[BIZD S]]+Dashboard!$C$19*tblHistory[[#This Row],[BKLN S]]+Dashboard!$C$20*tblHistory[[#This Row],[HY S]])/SUM(Dashboard!$C$18:$C$20)*100</f>
        <v/>
      </c>
      <c r="U269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269" s="43">
        <f>IFERROR(--(tblHistory[[#This Row],[Score]]&gt;=50),0)</f>
        <v/>
      </c>
      <c r="W269" s="43">
        <f>IFERROR(--AND(tblHistory[[#This Row],[Score]]&gt;=60,tblHistory[[#This Row],[BIZD S]]&gt;=0.8,tblHistory[[#This Row],[BKLN S]]&gt;=0.5),0)</f>
        <v/>
      </c>
      <c r="X269" s="43">
        <f>IFERROR(--AND(tblHistory[[#This Row],[Score]]&gt;=70,tblHistory[[#This Row],[SOX S]]&gt;=0.83,tblHistory[[#This Row],[AIQ S]]&gt;=0.8),0)</f>
        <v/>
      </c>
      <c r="Y269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269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269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269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269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270">
      <c r="A270" s="39" t="n">
        <v>45938</v>
      </c>
      <c r="B270" s="40" t="n">
        <v>27124.34</v>
      </c>
      <c r="C270" s="40" t="n">
        <v>9515.129999999999</v>
      </c>
      <c r="D270" s="40" t="n">
        <v>44.92</v>
      </c>
      <c r="E270" s="40" t="n">
        <v>183.61</v>
      </c>
      <c r="F270" s="40" t="n">
        <v>16.18</v>
      </c>
      <c r="G270" s="40" t="n">
        <v>17.62</v>
      </c>
      <c r="H270" s="40" t="n">
        <v>20.8</v>
      </c>
      <c r="I270" s="41" t="n">
        <v>304</v>
      </c>
      <c r="J270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270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270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270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270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270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270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270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270" s="43">
        <f>(Dashboard!$C$13*tblHistory[[#This Row],[NDX S]]+Dashboard!$C$14*tblHistory[[#This Row],[SOX S]]+Dashboard!$C$15*tblHistory[[#This Row],[AIQ S]])/SUM(Dashboard!$C$13:$C$15)*100</f>
        <v/>
      </c>
      <c r="S270" s="43">
        <f>(Dashboard!$C$16*tblHistory[[#This Row],[ORCL S]]+Dashboard!$C$17*tblHistory[[#This Row],[CRWV S]])/SUM(Dashboard!$C$16:$C$17)*100</f>
        <v/>
      </c>
      <c r="T270" s="43">
        <f>(Dashboard!$C$18*tblHistory[[#This Row],[BIZD S]]+Dashboard!$C$19*tblHistory[[#This Row],[BKLN S]]+Dashboard!$C$20*tblHistory[[#This Row],[HY S]])/SUM(Dashboard!$C$18:$C$20)*100</f>
        <v/>
      </c>
      <c r="U270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270" s="43">
        <f>IFERROR(--(tblHistory[[#This Row],[Score]]&gt;=50),0)</f>
        <v/>
      </c>
      <c r="W270" s="43">
        <f>IFERROR(--AND(tblHistory[[#This Row],[Score]]&gt;=60,tblHistory[[#This Row],[BIZD S]]&gt;=0.8,tblHistory[[#This Row],[BKLN S]]&gt;=0.5),0)</f>
        <v/>
      </c>
      <c r="X270" s="43">
        <f>IFERROR(--AND(tblHistory[[#This Row],[Score]]&gt;=70,tblHistory[[#This Row],[SOX S]]&gt;=0.83,tblHistory[[#This Row],[AIQ S]]&gt;=0.8),0)</f>
        <v/>
      </c>
      <c r="Y270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270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270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270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270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271">
      <c r="A271" s="39" t="n">
        <v>45937</v>
      </c>
      <c r="B271" s="40" t="n">
        <v>26531.6</v>
      </c>
      <c r="C271" s="40" t="n">
        <v>9226.67</v>
      </c>
      <c r="D271" s="40" t="n">
        <v>44.7</v>
      </c>
      <c r="E271" s="40" t="n">
        <v>188.06</v>
      </c>
      <c r="F271" s="40" t="n">
        <v>16.77</v>
      </c>
      <c r="G271" s="40" t="n">
        <v>17.58</v>
      </c>
      <c r="H271" s="40" t="n">
        <v>20.81</v>
      </c>
      <c r="I271" s="41" t="n">
        <v>310</v>
      </c>
      <c r="J271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271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271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271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271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271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271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271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271" s="43">
        <f>(Dashboard!$C$13*tblHistory[[#This Row],[NDX S]]+Dashboard!$C$14*tblHistory[[#This Row],[SOX S]]+Dashboard!$C$15*tblHistory[[#This Row],[AIQ S]])/SUM(Dashboard!$C$13:$C$15)*100</f>
        <v/>
      </c>
      <c r="S271" s="43">
        <f>(Dashboard!$C$16*tblHistory[[#This Row],[ORCL S]]+Dashboard!$C$17*tblHistory[[#This Row],[CRWV S]])/SUM(Dashboard!$C$16:$C$17)*100</f>
        <v/>
      </c>
      <c r="T271" s="43">
        <f>(Dashboard!$C$18*tblHistory[[#This Row],[BIZD S]]+Dashboard!$C$19*tblHistory[[#This Row],[BKLN S]]+Dashboard!$C$20*tblHistory[[#This Row],[HY S]])/SUM(Dashboard!$C$18:$C$20)*100</f>
        <v/>
      </c>
      <c r="U271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271" s="43">
        <f>IFERROR(--(tblHistory[[#This Row],[Score]]&gt;=50),0)</f>
        <v/>
      </c>
      <c r="W271" s="43">
        <f>IFERROR(--AND(tblHistory[[#This Row],[Score]]&gt;=60,tblHistory[[#This Row],[BIZD S]]&gt;=0.8,tblHistory[[#This Row],[BKLN S]]&gt;=0.5),0)</f>
        <v/>
      </c>
      <c r="X271" s="43">
        <f>IFERROR(--AND(tblHistory[[#This Row],[Score]]&gt;=70,tblHistory[[#This Row],[SOX S]]&gt;=0.83,tblHistory[[#This Row],[AIQ S]]&gt;=0.8),0)</f>
        <v/>
      </c>
      <c r="Y271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271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271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271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271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272">
      <c r="A272" s="39" t="n">
        <v>45936</v>
      </c>
      <c r="B272" s="40" t="n">
        <v>26441.44</v>
      </c>
      <c r="C272" s="40" t="n">
        <v>9241.49</v>
      </c>
      <c r="D272" s="40" t="n">
        <v>45.75</v>
      </c>
      <c r="E272" s="40" t="n">
        <v>188.99</v>
      </c>
      <c r="F272" s="40" t="n">
        <v>17.38</v>
      </c>
      <c r="G272" s="40" t="n">
        <v>17.51</v>
      </c>
      <c r="H272" s="40" t="n">
        <v>20.82</v>
      </c>
      <c r="I272" s="41" t="n">
        <v>321</v>
      </c>
      <c r="J272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272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272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272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272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272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272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272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272" s="43">
        <f>(Dashboard!$C$13*tblHistory[[#This Row],[NDX S]]+Dashboard!$C$14*tblHistory[[#This Row],[SOX S]]+Dashboard!$C$15*tblHistory[[#This Row],[AIQ S]])/SUM(Dashboard!$C$13:$C$15)*100</f>
        <v/>
      </c>
      <c r="S272" s="43">
        <f>(Dashboard!$C$16*tblHistory[[#This Row],[ORCL S]]+Dashboard!$C$17*tblHistory[[#This Row],[CRWV S]])/SUM(Dashboard!$C$16:$C$17)*100</f>
        <v/>
      </c>
      <c r="T272" s="43">
        <f>(Dashboard!$C$18*tblHistory[[#This Row],[BIZD S]]+Dashboard!$C$19*tblHistory[[#This Row],[BKLN S]]+Dashboard!$C$20*tblHistory[[#This Row],[HY S]])/SUM(Dashboard!$C$18:$C$20)*100</f>
        <v/>
      </c>
      <c r="U272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272" s="43">
        <f>IFERROR(--(tblHistory[[#This Row],[Score]]&gt;=50),0)</f>
        <v/>
      </c>
      <c r="W272" s="43">
        <f>IFERROR(--AND(tblHistory[[#This Row],[Score]]&gt;=60,tblHistory[[#This Row],[BIZD S]]&gt;=0.8,tblHistory[[#This Row],[BKLN S]]&gt;=0.5),0)</f>
        <v/>
      </c>
      <c r="X272" s="43">
        <f>IFERROR(--AND(tblHistory[[#This Row],[Score]]&gt;=70,tblHistory[[#This Row],[SOX S]]&gt;=0.83,tblHistory[[#This Row],[AIQ S]]&gt;=0.8),0)</f>
        <v/>
      </c>
      <c r="Y272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272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272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272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272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273">
      <c r="A273" s="39" t="n">
        <v>45933</v>
      </c>
      <c r="B273" s="40" t="n">
        <v>26613.82</v>
      </c>
      <c r="C273" s="40" t="n">
        <v>9299.110000000001</v>
      </c>
      <c r="D273" s="40" t="n">
        <v>46.06</v>
      </c>
      <c r="E273" s="40" t="n">
        <v>187.57</v>
      </c>
      <c r="F273" s="40" t="n">
        <v>16</v>
      </c>
      <c r="G273" s="40" t="n">
        <v>17.58</v>
      </c>
      <c r="H273" s="40" t="n">
        <v>20.78</v>
      </c>
      <c r="I273" s="41" t="n">
        <v>310</v>
      </c>
      <c r="J273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273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273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273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273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273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273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273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273" s="43">
        <f>(Dashboard!$C$13*tblHistory[[#This Row],[NDX S]]+Dashboard!$C$14*tblHistory[[#This Row],[SOX S]]+Dashboard!$C$15*tblHistory[[#This Row],[AIQ S]])/SUM(Dashboard!$C$13:$C$15)*100</f>
        <v/>
      </c>
      <c r="S273" s="43">
        <f>(Dashboard!$C$16*tblHistory[[#This Row],[ORCL S]]+Dashboard!$C$17*tblHistory[[#This Row],[CRWV S]])/SUM(Dashboard!$C$16:$C$17)*100</f>
        <v/>
      </c>
      <c r="T273" s="43">
        <f>(Dashboard!$C$18*tblHistory[[#This Row],[BIZD S]]+Dashboard!$C$19*tblHistory[[#This Row],[BKLN S]]+Dashboard!$C$20*tblHistory[[#This Row],[HY S]])/SUM(Dashboard!$C$18:$C$20)*100</f>
        <v/>
      </c>
      <c r="U273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273" s="43">
        <f>IFERROR(--(tblHistory[[#This Row],[Score]]&gt;=50),0)</f>
        <v/>
      </c>
      <c r="W273" s="43">
        <f>IFERROR(--AND(tblHistory[[#This Row],[Score]]&gt;=60,tblHistory[[#This Row],[BIZD S]]&gt;=0.8,tblHistory[[#This Row],[BKLN S]]&gt;=0.5),0)</f>
        <v/>
      </c>
      <c r="X273" s="43">
        <f>IFERROR(--AND(tblHistory[[#This Row],[Score]]&gt;=70,tblHistory[[#This Row],[SOX S]]&gt;=0.83,tblHistory[[#This Row],[AIQ S]]&gt;=0.8),0)</f>
        <v/>
      </c>
      <c r="Y273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273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273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273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273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274">
      <c r="A274" s="39" t="n">
        <v>45932</v>
      </c>
      <c r="B274" s="40" t="n">
        <v>26606.99</v>
      </c>
      <c r="C274" s="40" t="n">
        <v>9059.559999999999</v>
      </c>
      <c r="D274" s="40" t="n">
        <v>45.56</v>
      </c>
      <c r="E274" s="40" t="n">
        <v>187.19</v>
      </c>
      <c r="F274" s="40" t="n">
        <v>15.76</v>
      </c>
      <c r="G274" s="40" t="n">
        <v>17.44</v>
      </c>
      <c r="H274" s="40" t="n">
        <v>20.84</v>
      </c>
      <c r="I274" s="41" t="n"/>
      <c r="J274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274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274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274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274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274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274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274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274" s="43">
        <f>(Dashboard!$C$13*tblHistory[[#This Row],[NDX S]]+Dashboard!$C$14*tblHistory[[#This Row],[SOX S]]+Dashboard!$C$15*tblHistory[[#This Row],[AIQ S]])/SUM(Dashboard!$C$13:$C$15)*100</f>
        <v/>
      </c>
      <c r="S274" s="43">
        <f>(Dashboard!$C$16*tblHistory[[#This Row],[ORCL S]]+Dashboard!$C$17*tblHistory[[#This Row],[CRWV S]])/SUM(Dashboard!$C$16:$C$17)*100</f>
        <v/>
      </c>
      <c r="T274" s="43">
        <f>(Dashboard!$C$18*tblHistory[[#This Row],[BIZD S]]+Dashboard!$C$19*tblHistory[[#This Row],[BKLN S]]+Dashboard!$C$20*tblHistory[[#This Row],[HY S]])/SUM(Dashboard!$C$18:$C$20)*100</f>
        <v/>
      </c>
      <c r="U274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274" s="43">
        <f>IFERROR(--(tblHistory[[#This Row],[Score]]&gt;=50),0)</f>
        <v/>
      </c>
      <c r="W274" s="43">
        <f>IFERROR(--AND(tblHistory[[#This Row],[Score]]&gt;=60,tblHistory[[#This Row],[BIZD S]]&gt;=0.8,tblHistory[[#This Row],[BKLN S]]&gt;=0.5),0)</f>
        <v/>
      </c>
      <c r="X274" s="43">
        <f>IFERROR(--AND(tblHistory[[#This Row],[Score]]&gt;=70,tblHistory[[#This Row],[SOX S]]&gt;=0.83,tblHistory[[#This Row],[AIQ S]]&gt;=0.8),0)</f>
        <v/>
      </c>
      <c r="Y274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274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274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274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274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275">
      <c r="A275" s="39" t="n">
        <v>45931</v>
      </c>
      <c r="B275" s="40" t="n">
        <v>26652.43</v>
      </c>
      <c r="C275" s="40" t="n">
        <v>8937.74</v>
      </c>
      <c r="D275" s="40" t="n">
        <v>45.36</v>
      </c>
      <c r="E275" s="40" t="n">
        <v>188.55</v>
      </c>
      <c r="F275" s="40" t="n">
        <v>15.73</v>
      </c>
      <c r="G275" s="40" t="n">
        <v>17.48</v>
      </c>
      <c r="H275" s="40" t="n">
        <v>20.72</v>
      </c>
      <c r="I275" s="41" t="n">
        <v>318</v>
      </c>
      <c r="J275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275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275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275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275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275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275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275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275" s="43">
        <f>(Dashboard!$C$13*tblHistory[[#This Row],[NDX S]]+Dashboard!$C$14*tblHistory[[#This Row],[SOX S]]+Dashboard!$C$15*tblHistory[[#This Row],[AIQ S]])/SUM(Dashboard!$C$13:$C$15)*100</f>
        <v/>
      </c>
      <c r="S275" s="43">
        <f>(Dashboard!$C$16*tblHistory[[#This Row],[ORCL S]]+Dashboard!$C$17*tblHistory[[#This Row],[CRWV S]])/SUM(Dashboard!$C$16:$C$17)*100</f>
        <v/>
      </c>
      <c r="T275" s="43">
        <f>(Dashboard!$C$18*tblHistory[[#This Row],[BIZD S]]+Dashboard!$C$19*tblHistory[[#This Row],[BKLN S]]+Dashboard!$C$20*tblHistory[[#This Row],[HY S]])/SUM(Dashboard!$C$18:$C$20)*100</f>
        <v/>
      </c>
      <c r="U275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275" s="43">
        <f>IFERROR(--(tblHistory[[#This Row],[Score]]&gt;=50),0)</f>
        <v/>
      </c>
      <c r="W275" s="43">
        <f>IFERROR(--AND(tblHistory[[#This Row],[Score]]&gt;=60,tblHistory[[#This Row],[BIZD S]]&gt;=0.8,tblHistory[[#This Row],[BKLN S]]&gt;=0.5),0)</f>
        <v/>
      </c>
      <c r="X275" s="43">
        <f>IFERROR(--AND(tblHistory[[#This Row],[Score]]&gt;=70,tblHistory[[#This Row],[SOX S]]&gt;=0.83,tblHistory[[#This Row],[AIQ S]]&gt;=0.8),0)</f>
        <v/>
      </c>
      <c r="Y275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275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275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275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275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276">
      <c r="A276" s="39" t="n">
        <v>45930</v>
      </c>
      <c r="B276" s="40" t="n">
        <v>26640.53</v>
      </c>
      <c r="C276" s="40" t="n">
        <v>9003.610000000001</v>
      </c>
      <c r="D276" s="40" t="n">
        <v>45.62</v>
      </c>
      <c r="E276" s="40" t="n">
        <v>189.85</v>
      </c>
      <c r="F276" s="40" t="n">
        <v>15.33</v>
      </c>
      <c r="G276" s="40" t="n">
        <v>17.38</v>
      </c>
      <c r="H276" s="40" t="n">
        <v>20.74</v>
      </c>
      <c r="I276" s="41" t="n">
        <v>317</v>
      </c>
      <c r="J276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276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276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276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276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276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276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276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276" s="43">
        <f>(Dashboard!$C$13*tblHistory[[#This Row],[NDX S]]+Dashboard!$C$14*tblHistory[[#This Row],[SOX S]]+Dashboard!$C$15*tblHistory[[#This Row],[AIQ S]])/SUM(Dashboard!$C$13:$C$15)*100</f>
        <v/>
      </c>
      <c r="S276" s="43">
        <f>(Dashboard!$C$16*tblHistory[[#This Row],[ORCL S]]+Dashboard!$C$17*tblHistory[[#This Row],[CRWV S]])/SUM(Dashboard!$C$16:$C$17)*100</f>
        <v/>
      </c>
      <c r="T276" s="43">
        <f>(Dashboard!$C$18*tblHistory[[#This Row],[BIZD S]]+Dashboard!$C$19*tblHistory[[#This Row],[BKLN S]]+Dashboard!$C$20*tblHistory[[#This Row],[HY S]])/SUM(Dashboard!$C$18:$C$20)*100</f>
        <v/>
      </c>
      <c r="U276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276" s="43">
        <f>IFERROR(--(tblHistory[[#This Row],[Score]]&gt;=50),0)</f>
        <v/>
      </c>
      <c r="W276" s="43">
        <f>IFERROR(--AND(tblHistory[[#This Row],[Score]]&gt;=60,tblHistory[[#This Row],[BIZD S]]&gt;=0.8,tblHistory[[#This Row],[BKLN S]]&gt;=0.5),0)</f>
        <v/>
      </c>
      <c r="X276" s="43">
        <f>IFERROR(--AND(tblHistory[[#This Row],[Score]]&gt;=70,tblHistory[[#This Row],[SOX S]]&gt;=0.83,tblHistory[[#This Row],[AIQ S]]&gt;=0.8),0)</f>
        <v/>
      </c>
      <c r="Y276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276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276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276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276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277">
      <c r="A277" s="39" t="n">
        <v>45929</v>
      </c>
      <c r="B277" s="40" t="n">
        <v>27021.07</v>
      </c>
      <c r="C277" s="40" t="n">
        <v>9370.49</v>
      </c>
      <c r="D277" s="40" t="n">
        <v>45.26</v>
      </c>
      <c r="E277" s="40" t="n">
        <v>193.61</v>
      </c>
      <c r="F277" s="40" t="n">
        <v>16.22</v>
      </c>
      <c r="G277" s="40" t="n">
        <v>17.53</v>
      </c>
      <c r="H277" s="40" t="n">
        <v>20.73</v>
      </c>
      <c r="I277" s="41" t="n">
        <v>318</v>
      </c>
      <c r="J277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277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277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277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277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277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277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277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277" s="43">
        <f>(Dashboard!$C$13*tblHistory[[#This Row],[NDX S]]+Dashboard!$C$14*tblHistory[[#This Row],[SOX S]]+Dashboard!$C$15*tblHistory[[#This Row],[AIQ S]])/SUM(Dashboard!$C$13:$C$15)*100</f>
        <v/>
      </c>
      <c r="S277" s="43">
        <f>(Dashboard!$C$16*tblHistory[[#This Row],[ORCL S]]+Dashboard!$C$17*tblHistory[[#This Row],[CRWV S]])/SUM(Dashboard!$C$16:$C$17)*100</f>
        <v/>
      </c>
      <c r="T277" s="43">
        <f>(Dashboard!$C$18*tblHistory[[#This Row],[BIZD S]]+Dashboard!$C$19*tblHistory[[#This Row],[BKLN S]]+Dashboard!$C$20*tblHistory[[#This Row],[HY S]])/SUM(Dashboard!$C$18:$C$20)*100</f>
        <v/>
      </c>
      <c r="U277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277" s="43">
        <f>IFERROR(--(tblHistory[[#This Row],[Score]]&gt;=50),0)</f>
        <v/>
      </c>
      <c r="W277" s="43">
        <f>IFERROR(--AND(tblHistory[[#This Row],[Score]]&gt;=60,tblHistory[[#This Row],[BIZD S]]&gt;=0.8,tblHistory[[#This Row],[BKLN S]]&gt;=0.5),0)</f>
        <v/>
      </c>
      <c r="X277" s="43">
        <f>IFERROR(--AND(tblHistory[[#This Row],[Score]]&gt;=70,tblHistory[[#This Row],[SOX S]]&gt;=0.83,tblHistory[[#This Row],[AIQ S]]&gt;=0.8),0)</f>
        <v/>
      </c>
      <c r="Y277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277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277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277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277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278">
      <c r="A278" s="39" t="n">
        <v>45926</v>
      </c>
      <c r="B278" s="40" t="n">
        <v>26660.66</v>
      </c>
      <c r="C278" s="40" t="n">
        <v>9370.42</v>
      </c>
      <c r="D278" s="40" t="n">
        <v>44.77</v>
      </c>
      <c r="E278" s="40" t="n">
        <v>191.51</v>
      </c>
      <c r="F278" s="40" t="n">
        <v>17.13</v>
      </c>
      <c r="G278" s="40" t="n">
        <v>17.55</v>
      </c>
      <c r="H278" s="40" t="n">
        <v>20.75</v>
      </c>
      <c r="I278" s="41" t="n">
        <v>308</v>
      </c>
      <c r="J278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278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278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278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278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278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278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278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278" s="43">
        <f>(Dashboard!$C$13*tblHistory[[#This Row],[NDX S]]+Dashboard!$C$14*tblHistory[[#This Row],[SOX S]]+Dashboard!$C$15*tblHistory[[#This Row],[AIQ S]])/SUM(Dashboard!$C$13:$C$15)*100</f>
        <v/>
      </c>
      <c r="S278" s="43">
        <f>(Dashboard!$C$16*tblHistory[[#This Row],[ORCL S]]+Dashboard!$C$17*tblHistory[[#This Row],[CRWV S]])/SUM(Dashboard!$C$16:$C$17)*100</f>
        <v/>
      </c>
      <c r="T278" s="43">
        <f>(Dashboard!$C$18*tblHistory[[#This Row],[BIZD S]]+Dashboard!$C$19*tblHistory[[#This Row],[BKLN S]]+Dashboard!$C$20*tblHistory[[#This Row],[HY S]])/SUM(Dashboard!$C$18:$C$20)*100</f>
        <v/>
      </c>
      <c r="U278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278" s="43">
        <f>IFERROR(--(tblHistory[[#This Row],[Score]]&gt;=50),0)</f>
        <v/>
      </c>
      <c r="W278" s="43">
        <f>IFERROR(--AND(tblHistory[[#This Row],[Score]]&gt;=60,tblHistory[[#This Row],[BIZD S]]&gt;=0.8,tblHistory[[#This Row],[BKLN S]]&gt;=0.5),0)</f>
        <v/>
      </c>
      <c r="X278" s="43">
        <f>IFERROR(--AND(tblHistory[[#This Row],[Score]]&gt;=70,tblHistory[[#This Row],[SOX S]]&gt;=0.83,tblHistory[[#This Row],[AIQ S]]&gt;=0.8),0)</f>
        <v/>
      </c>
      <c r="Y278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278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278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278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278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279">
      <c r="A279" s="39" t="n">
        <v>45925</v>
      </c>
      <c r="B279" s="40" t="n">
        <v>27279.69</v>
      </c>
      <c r="C279" s="40" t="n">
        <v>9430.110000000001</v>
      </c>
      <c r="D279" s="40" t="n">
        <v>44.29</v>
      </c>
      <c r="E279" s="40" t="n">
        <v>190.34</v>
      </c>
      <c r="F279" s="40" t="n">
        <v>18.88</v>
      </c>
      <c r="G279" s="40" t="n">
        <v>17.45</v>
      </c>
      <c r="H279" s="40" t="n">
        <v>20.75</v>
      </c>
      <c r="I279" s="41" t="n">
        <v>300</v>
      </c>
      <c r="J279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279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279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279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279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279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279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279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279" s="43">
        <f>(Dashboard!$C$13*tblHistory[[#This Row],[NDX S]]+Dashboard!$C$14*tblHistory[[#This Row],[SOX S]]+Dashboard!$C$15*tblHistory[[#This Row],[AIQ S]])/SUM(Dashboard!$C$13:$C$15)*100</f>
        <v/>
      </c>
      <c r="S279" s="43">
        <f>(Dashboard!$C$16*tblHistory[[#This Row],[ORCL S]]+Dashboard!$C$17*tblHistory[[#This Row],[CRWV S]])/SUM(Dashboard!$C$16:$C$17)*100</f>
        <v/>
      </c>
      <c r="T279" s="43">
        <f>(Dashboard!$C$18*tblHistory[[#This Row],[BIZD S]]+Dashboard!$C$19*tblHistory[[#This Row],[BKLN S]]+Dashboard!$C$20*tblHistory[[#This Row],[HY S]])/SUM(Dashboard!$C$18:$C$20)*100</f>
        <v/>
      </c>
      <c r="U279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279" s="43">
        <f>IFERROR(--(tblHistory[[#This Row],[Score]]&gt;=50),0)</f>
        <v/>
      </c>
      <c r="W279" s="43">
        <f>IFERROR(--AND(tblHistory[[#This Row],[Score]]&gt;=60,tblHistory[[#This Row],[BIZD S]]&gt;=0.8,tblHistory[[#This Row],[BKLN S]]&gt;=0.5),0)</f>
        <v/>
      </c>
      <c r="X279" s="43">
        <f>IFERROR(--AND(tblHistory[[#This Row],[Score]]&gt;=70,tblHistory[[#This Row],[SOX S]]&gt;=0.83,tblHistory[[#This Row],[AIQ S]]&gt;=0.8),0)</f>
        <v/>
      </c>
      <c r="Y279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279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279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279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279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280">
      <c r="A280" s="39" t="n">
        <v>45924</v>
      </c>
      <c r="B280" s="40" t="n">
        <v>27620.07</v>
      </c>
      <c r="C280" s="40" t="n">
        <v>9303.309999999999</v>
      </c>
      <c r="D280" s="40" t="n">
        <v>45.02</v>
      </c>
      <c r="E280" s="40" t="n">
        <v>193.52</v>
      </c>
      <c r="F280" s="40" t="n">
        <v>18.25</v>
      </c>
      <c r="G280" s="40" t="n">
        <v>17.48</v>
      </c>
      <c r="H280" s="40" t="n">
        <v>20.79</v>
      </c>
      <c r="I280" s="41" t="n">
        <v>286</v>
      </c>
      <c r="J280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280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280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280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280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280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280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280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280" s="43">
        <f>(Dashboard!$C$13*tblHistory[[#This Row],[NDX S]]+Dashboard!$C$14*tblHistory[[#This Row],[SOX S]]+Dashboard!$C$15*tblHistory[[#This Row],[AIQ S]])/SUM(Dashboard!$C$13:$C$15)*100</f>
        <v/>
      </c>
      <c r="S280" s="43">
        <f>(Dashboard!$C$16*tblHistory[[#This Row],[ORCL S]]+Dashboard!$C$17*tblHistory[[#This Row],[CRWV S]])/SUM(Dashboard!$C$16:$C$17)*100</f>
        <v/>
      </c>
      <c r="T280" s="43">
        <f>(Dashboard!$C$18*tblHistory[[#This Row],[BIZD S]]+Dashboard!$C$19*tblHistory[[#This Row],[BKLN S]]+Dashboard!$C$20*tblHistory[[#This Row],[HY S]])/SUM(Dashboard!$C$18:$C$20)*100</f>
        <v/>
      </c>
      <c r="U280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280" s="43">
        <f>IFERROR(--(tblHistory[[#This Row],[Score]]&gt;=50),0)</f>
        <v/>
      </c>
      <c r="W280" s="43">
        <f>IFERROR(--AND(tblHistory[[#This Row],[Score]]&gt;=60,tblHistory[[#This Row],[BIZD S]]&gt;=0.8,tblHistory[[#This Row],[BKLN S]]&gt;=0.5),0)</f>
        <v/>
      </c>
      <c r="X280" s="43">
        <f>IFERROR(--AND(tblHistory[[#This Row],[Score]]&gt;=70,tblHistory[[#This Row],[SOX S]]&gt;=0.83,tblHistory[[#This Row],[AIQ S]]&gt;=0.8),0)</f>
        <v/>
      </c>
      <c r="Y280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280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280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280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280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281">
      <c r="A281" s="39" t="n">
        <v>45923</v>
      </c>
      <c r="B281" s="40" t="n">
        <v>28231.96</v>
      </c>
      <c r="C281" s="40" t="n">
        <v>9283.01</v>
      </c>
      <c r="D281" s="40" t="n">
        <v>44.88</v>
      </c>
      <c r="E281" s="40" t="n">
        <v>197.98</v>
      </c>
      <c r="F281" s="40" t="n">
        <v>16.66</v>
      </c>
      <c r="G281" s="40" t="n">
        <v>17.44</v>
      </c>
      <c r="H281" s="40" t="n">
        <v>20.8</v>
      </c>
      <c r="I281" s="41" t="n">
        <v>278</v>
      </c>
      <c r="J281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281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281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281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281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281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281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281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281" s="43">
        <f>(Dashboard!$C$13*tblHistory[[#This Row],[NDX S]]+Dashboard!$C$14*tblHistory[[#This Row],[SOX S]]+Dashboard!$C$15*tblHistory[[#This Row],[AIQ S]])/SUM(Dashboard!$C$13:$C$15)*100</f>
        <v/>
      </c>
      <c r="S281" s="43">
        <f>(Dashboard!$C$16*tblHistory[[#This Row],[ORCL S]]+Dashboard!$C$17*tblHistory[[#This Row],[CRWV S]])/SUM(Dashboard!$C$16:$C$17)*100</f>
        <v/>
      </c>
      <c r="T281" s="43">
        <f>(Dashboard!$C$18*tblHistory[[#This Row],[BIZD S]]+Dashboard!$C$19*tblHistory[[#This Row],[BKLN S]]+Dashboard!$C$20*tblHistory[[#This Row],[HY S]])/SUM(Dashboard!$C$18:$C$20)*100</f>
        <v/>
      </c>
      <c r="U281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281" s="43">
        <f>IFERROR(--(tblHistory[[#This Row],[Score]]&gt;=50),0)</f>
        <v/>
      </c>
      <c r="W281" s="43">
        <f>IFERROR(--AND(tblHistory[[#This Row],[Score]]&gt;=60,tblHistory[[#This Row],[BIZD S]]&gt;=0.8,tblHistory[[#This Row],[BKLN S]]&gt;=0.5),0)</f>
        <v/>
      </c>
      <c r="X281" s="43">
        <f>IFERROR(--AND(tblHistory[[#This Row],[Score]]&gt;=70,tblHistory[[#This Row],[SOX S]]&gt;=0.83,tblHistory[[#This Row],[AIQ S]]&gt;=0.8),0)</f>
        <v/>
      </c>
      <c r="Y281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281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281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281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281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282">
      <c r="A282" s="39" t="n">
        <v>45922</v>
      </c>
      <c r="B282" s="40" t="n">
        <v>27918.67</v>
      </c>
      <c r="C282" s="40" t="n">
        <v>9214.870000000001</v>
      </c>
      <c r="D282" s="40" t="n">
        <v>44.31</v>
      </c>
      <c r="E282" s="40" t="n">
        <v>194.79</v>
      </c>
      <c r="F282" s="40" t="n">
        <v>16.4</v>
      </c>
      <c r="G282" s="40" t="n">
        <v>17.41</v>
      </c>
      <c r="H282" s="40" t="n">
        <v>20.77</v>
      </c>
      <c r="I282" s="41" t="n">
        <v>283</v>
      </c>
      <c r="J282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282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282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282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282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282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282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282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282" s="43">
        <f>(Dashboard!$C$13*tblHistory[[#This Row],[NDX S]]+Dashboard!$C$14*tblHistory[[#This Row],[SOX S]]+Dashboard!$C$15*tblHistory[[#This Row],[AIQ S]])/SUM(Dashboard!$C$13:$C$15)*100</f>
        <v/>
      </c>
      <c r="S282" s="43">
        <f>(Dashboard!$C$16*tblHistory[[#This Row],[ORCL S]]+Dashboard!$C$17*tblHistory[[#This Row],[CRWV S]])/SUM(Dashboard!$C$16:$C$17)*100</f>
        <v/>
      </c>
      <c r="T282" s="43">
        <f>(Dashboard!$C$18*tblHistory[[#This Row],[BIZD S]]+Dashboard!$C$19*tblHistory[[#This Row],[BKLN S]]+Dashboard!$C$20*tblHistory[[#This Row],[HY S]])/SUM(Dashboard!$C$18:$C$20)*100</f>
        <v/>
      </c>
      <c r="U282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282" s="43">
        <f>IFERROR(--(tblHistory[[#This Row],[Score]]&gt;=50),0)</f>
        <v/>
      </c>
      <c r="W282" s="43">
        <f>IFERROR(--AND(tblHistory[[#This Row],[Score]]&gt;=60,tblHistory[[#This Row],[BIZD S]]&gt;=0.8,tblHistory[[#This Row],[BKLN S]]&gt;=0.5),0)</f>
        <v/>
      </c>
      <c r="X282" s="43">
        <f>IFERROR(--AND(tblHistory[[#This Row],[Score]]&gt;=70,tblHistory[[#This Row],[SOX S]]&gt;=0.83,tblHistory[[#This Row],[AIQ S]]&gt;=0.8),0)</f>
        <v/>
      </c>
      <c r="Y282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282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282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282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282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283">
      <c r="A283" s="39" t="n">
        <v>45919</v>
      </c>
      <c r="B283" s="40" t="n">
        <v>28127.78</v>
      </c>
      <c r="C283" s="40" t="n">
        <v>9258.690000000001</v>
      </c>
      <c r="D283" s="40" t="n">
        <v>43.98</v>
      </c>
      <c r="E283" s="40" t="n">
        <v>189.58</v>
      </c>
      <c r="F283" s="40" t="n">
        <v>17.07</v>
      </c>
      <c r="G283" s="40" t="n">
        <v>17.45</v>
      </c>
      <c r="H283" s="40" t="n">
        <v>20.74</v>
      </c>
      <c r="I283" s="41" t="n">
        <v>285</v>
      </c>
      <c r="J283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283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283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283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283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283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283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283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283" s="43">
        <f>(Dashboard!$C$13*tblHistory[[#This Row],[NDX S]]+Dashboard!$C$14*tblHistory[[#This Row],[SOX S]]+Dashboard!$C$15*tblHistory[[#This Row],[AIQ S]])/SUM(Dashboard!$C$13:$C$15)*100</f>
        <v/>
      </c>
      <c r="S283" s="43">
        <f>(Dashboard!$C$16*tblHistory[[#This Row],[ORCL S]]+Dashboard!$C$17*tblHistory[[#This Row],[CRWV S]])/SUM(Dashboard!$C$16:$C$17)*100</f>
        <v/>
      </c>
      <c r="T283" s="43">
        <f>(Dashboard!$C$18*tblHistory[[#This Row],[BIZD S]]+Dashboard!$C$19*tblHistory[[#This Row],[BKLN S]]+Dashboard!$C$20*tblHistory[[#This Row],[HY S]])/SUM(Dashboard!$C$18:$C$20)*100</f>
        <v/>
      </c>
      <c r="U283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283" s="43">
        <f>IFERROR(--(tblHistory[[#This Row],[Score]]&gt;=50),0)</f>
        <v/>
      </c>
      <c r="W283" s="43">
        <f>IFERROR(--AND(tblHistory[[#This Row],[Score]]&gt;=60,tblHistory[[#This Row],[BIZD S]]&gt;=0.8,tblHistory[[#This Row],[BKLN S]]&gt;=0.5),0)</f>
        <v/>
      </c>
      <c r="X283" s="43">
        <f>IFERROR(--AND(tblHistory[[#This Row],[Score]]&gt;=70,tblHistory[[#This Row],[SOX S]]&gt;=0.83,tblHistory[[#This Row],[AIQ S]]&gt;=0.8),0)</f>
        <v/>
      </c>
      <c r="Y283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283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283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283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283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284">
      <c r="A284" s="39" t="n">
        <v>45918</v>
      </c>
      <c r="B284" s="40" t="n">
        <v>27573.05</v>
      </c>
      <c r="C284" s="40" t="n">
        <v>9246.92</v>
      </c>
      <c r="D284" s="40" t="n">
        <v>44.77</v>
      </c>
      <c r="E284" s="40" t="n">
        <v>182.42</v>
      </c>
      <c r="F284" s="40" t="n">
        <v>17.39</v>
      </c>
      <c r="G284" s="40" t="n">
        <v>17.55</v>
      </c>
      <c r="H284" s="40" t="n">
        <v>20.69</v>
      </c>
      <c r="I284" s="41" t="n">
        <v>282</v>
      </c>
      <c r="J284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284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284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284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284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284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284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284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284" s="43">
        <f>(Dashboard!$C$13*tblHistory[[#This Row],[NDX S]]+Dashboard!$C$14*tblHistory[[#This Row],[SOX S]]+Dashboard!$C$15*tblHistory[[#This Row],[AIQ S]])/SUM(Dashboard!$C$13:$C$15)*100</f>
        <v/>
      </c>
      <c r="S284" s="43">
        <f>(Dashboard!$C$16*tblHistory[[#This Row],[ORCL S]]+Dashboard!$C$17*tblHistory[[#This Row],[CRWV S]])/SUM(Dashboard!$C$16:$C$17)*100</f>
        <v/>
      </c>
      <c r="T284" s="43">
        <f>(Dashboard!$C$18*tblHistory[[#This Row],[BIZD S]]+Dashboard!$C$19*tblHistory[[#This Row],[BKLN S]]+Dashboard!$C$20*tblHistory[[#This Row],[HY S]])/SUM(Dashboard!$C$18:$C$20)*100</f>
        <v/>
      </c>
      <c r="U284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284" s="43">
        <f>IFERROR(--(tblHistory[[#This Row],[Score]]&gt;=50),0)</f>
        <v/>
      </c>
      <c r="W284" s="43">
        <f>IFERROR(--AND(tblHistory[[#This Row],[Score]]&gt;=60,tblHistory[[#This Row],[BIZD S]]&gt;=0.8,tblHistory[[#This Row],[BKLN S]]&gt;=0.5),0)</f>
        <v/>
      </c>
      <c r="X284" s="43">
        <f>IFERROR(--AND(tblHistory[[#This Row],[Score]]&gt;=70,tblHistory[[#This Row],[SOX S]]&gt;=0.83,tblHistory[[#This Row],[AIQ S]]&gt;=0.8),0)</f>
        <v/>
      </c>
      <c r="Y284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284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284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284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284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285">
      <c r="A285" s="39" t="n">
        <v>45917</v>
      </c>
      <c r="B285" s="40" t="n">
        <v>27067.7</v>
      </c>
      <c r="C285" s="40" t="n">
        <v>9071.43</v>
      </c>
      <c r="D285" s="40" t="n">
        <v>45.24</v>
      </c>
      <c r="E285" s="40" t="n">
        <v>179.25</v>
      </c>
      <c r="F285" s="40" t="n">
        <v>18</v>
      </c>
      <c r="G285" s="40" t="n">
        <v>17.51</v>
      </c>
      <c r="H285" s="40" t="n">
        <v>20.68</v>
      </c>
      <c r="I285" s="41" t="n">
        <v>278</v>
      </c>
      <c r="J285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285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285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285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285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285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285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285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285" s="43">
        <f>(Dashboard!$C$13*tblHistory[[#This Row],[NDX S]]+Dashboard!$C$14*tblHistory[[#This Row],[SOX S]]+Dashboard!$C$15*tblHistory[[#This Row],[AIQ S]])/SUM(Dashboard!$C$13:$C$15)*100</f>
        <v/>
      </c>
      <c r="S285" s="43">
        <f>(Dashboard!$C$16*tblHistory[[#This Row],[ORCL S]]+Dashboard!$C$17*tblHistory[[#This Row],[CRWV S]])/SUM(Dashboard!$C$16:$C$17)*100</f>
        <v/>
      </c>
      <c r="T285" s="43">
        <f>(Dashboard!$C$18*tblHistory[[#This Row],[BIZD S]]+Dashboard!$C$19*tblHistory[[#This Row],[BKLN S]]+Dashboard!$C$20*tblHistory[[#This Row],[HY S]])/SUM(Dashboard!$C$18:$C$20)*100</f>
        <v/>
      </c>
      <c r="U285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285" s="43">
        <f>IFERROR(--(tblHistory[[#This Row],[Score]]&gt;=50),0)</f>
        <v/>
      </c>
      <c r="W285" s="43">
        <f>IFERROR(--AND(tblHistory[[#This Row],[Score]]&gt;=60,tblHistory[[#This Row],[BIZD S]]&gt;=0.8,tblHistory[[#This Row],[BKLN S]]&gt;=0.5),0)</f>
        <v/>
      </c>
      <c r="X285" s="43">
        <f>IFERROR(--AND(tblHistory[[#This Row],[Score]]&gt;=70,tblHistory[[#This Row],[SOX S]]&gt;=0.83,tblHistory[[#This Row],[AIQ S]]&gt;=0.8),0)</f>
        <v/>
      </c>
      <c r="Y285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285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285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285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285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286">
      <c r="A286" s="39" t="n">
        <v>45916</v>
      </c>
      <c r="B286" s="40" t="n">
        <v>26715.85</v>
      </c>
      <c r="C286" s="40" t="n">
        <v>9335.690000000001</v>
      </c>
      <c r="D286" s="40" t="n">
        <v>44.29</v>
      </c>
      <c r="E286" s="40" t="n">
        <v>176.63</v>
      </c>
      <c r="F286" s="40" t="n">
        <v>16.97</v>
      </c>
      <c r="G286" s="40" t="n">
        <v>17.63</v>
      </c>
      <c r="H286" s="40" t="n">
        <v>20.64</v>
      </c>
      <c r="I286" s="41" t="n">
        <v>292</v>
      </c>
      <c r="J286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286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286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286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286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286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286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286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286" s="43">
        <f>(Dashboard!$C$13*tblHistory[[#This Row],[NDX S]]+Dashboard!$C$14*tblHistory[[#This Row],[SOX S]]+Dashboard!$C$15*tblHistory[[#This Row],[AIQ S]])/SUM(Dashboard!$C$13:$C$15)*100</f>
        <v/>
      </c>
      <c r="S286" s="43">
        <f>(Dashboard!$C$16*tblHistory[[#This Row],[ORCL S]]+Dashboard!$C$17*tblHistory[[#This Row],[CRWV S]])/SUM(Dashboard!$C$16:$C$17)*100</f>
        <v/>
      </c>
      <c r="T286" s="43">
        <f>(Dashboard!$C$18*tblHistory[[#This Row],[BIZD S]]+Dashboard!$C$19*tblHistory[[#This Row],[BKLN S]]+Dashboard!$C$20*tblHistory[[#This Row],[HY S]])/SUM(Dashboard!$C$18:$C$20)*100</f>
        <v/>
      </c>
      <c r="U286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286" s="43">
        <f>IFERROR(--(tblHistory[[#This Row],[Score]]&gt;=50),0)</f>
        <v/>
      </c>
      <c r="W286" s="43">
        <f>IFERROR(--AND(tblHistory[[#This Row],[Score]]&gt;=60,tblHistory[[#This Row],[BIZD S]]&gt;=0.8,tblHistory[[#This Row],[BKLN S]]&gt;=0.5),0)</f>
        <v/>
      </c>
      <c r="X286" s="43">
        <f>IFERROR(--AND(tblHistory[[#This Row],[Score]]&gt;=70,tblHistory[[#This Row],[SOX S]]&gt;=0.83,tblHistory[[#This Row],[AIQ S]]&gt;=0.8),0)</f>
        <v/>
      </c>
      <c r="Y286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286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286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286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286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287">
      <c r="A287" s="39" t="n">
        <v>45915</v>
      </c>
      <c r="B287" s="40" t="n">
        <v>26719.47</v>
      </c>
      <c r="C287" s="40" t="n">
        <v>9355.700000000001</v>
      </c>
      <c r="D287" s="40" t="n">
        <v>43.65</v>
      </c>
      <c r="E287" s="40" t="n">
        <v>182.07</v>
      </c>
      <c r="F287" s="40" t="n">
        <v>15.65</v>
      </c>
      <c r="G287" s="40" t="n">
        <v>17.62</v>
      </c>
      <c r="H287" s="40" t="n">
        <v>20.68</v>
      </c>
      <c r="I287" s="41" t="n">
        <v>290</v>
      </c>
      <c r="J287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287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287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287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287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287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287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287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287" s="43">
        <f>(Dashboard!$C$13*tblHistory[[#This Row],[NDX S]]+Dashboard!$C$14*tblHistory[[#This Row],[SOX S]]+Dashboard!$C$15*tblHistory[[#This Row],[AIQ S]])/SUM(Dashboard!$C$13:$C$15)*100</f>
        <v/>
      </c>
      <c r="S287" s="43">
        <f>(Dashboard!$C$16*tblHistory[[#This Row],[ORCL S]]+Dashboard!$C$17*tblHistory[[#This Row],[CRWV S]])/SUM(Dashboard!$C$16:$C$17)*100</f>
        <v/>
      </c>
      <c r="T287" s="43">
        <f>(Dashboard!$C$18*tblHistory[[#This Row],[BIZD S]]+Dashboard!$C$19*tblHistory[[#This Row],[BKLN S]]+Dashboard!$C$20*tblHistory[[#This Row],[HY S]])/SUM(Dashboard!$C$18:$C$20)*100</f>
        <v/>
      </c>
      <c r="U287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287" s="43">
        <f>IFERROR(--(tblHistory[[#This Row],[Score]]&gt;=50),0)</f>
        <v/>
      </c>
      <c r="W287" s="43">
        <f>IFERROR(--AND(tblHistory[[#This Row],[Score]]&gt;=60,tblHistory[[#This Row],[BIZD S]]&gt;=0.8,tblHistory[[#This Row],[BKLN S]]&gt;=0.5),0)</f>
        <v/>
      </c>
      <c r="X287" s="43">
        <f>IFERROR(--AND(tblHistory[[#This Row],[Score]]&gt;=70,tblHistory[[#This Row],[SOX S]]&gt;=0.83,tblHistory[[#This Row],[AIQ S]]&gt;=0.8),0)</f>
        <v/>
      </c>
      <c r="Y287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287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287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287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287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288">
      <c r="A288" s="39" t="n">
        <v>45912</v>
      </c>
      <c r="B288" s="40" t="n">
        <v>26281.74</v>
      </c>
      <c r="C288" s="40" t="n">
        <v>9314.08</v>
      </c>
      <c r="D288" s="40" t="n">
        <v>43.21</v>
      </c>
      <c r="E288" s="40" t="n">
        <v>176.89</v>
      </c>
      <c r="F288" s="40" t="n">
        <v>15.14</v>
      </c>
      <c r="G288" s="40" t="n">
        <v>17.37</v>
      </c>
      <c r="H288" s="40" t="n">
        <v>20.67</v>
      </c>
      <c r="I288" s="41" t="n">
        <v>282</v>
      </c>
      <c r="J288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288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288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288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288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288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288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288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288" s="43">
        <f>(Dashboard!$C$13*tblHistory[[#This Row],[NDX S]]+Dashboard!$C$14*tblHistory[[#This Row],[SOX S]]+Dashboard!$C$15*tblHistory[[#This Row],[AIQ S]])/SUM(Dashboard!$C$13:$C$15)*100</f>
        <v/>
      </c>
      <c r="S288" s="43">
        <f>(Dashboard!$C$16*tblHistory[[#This Row],[ORCL S]]+Dashboard!$C$17*tblHistory[[#This Row],[CRWV S]])/SUM(Dashboard!$C$16:$C$17)*100</f>
        <v/>
      </c>
      <c r="T288" s="43">
        <f>(Dashboard!$C$18*tblHistory[[#This Row],[BIZD S]]+Dashboard!$C$19*tblHistory[[#This Row],[BKLN S]]+Dashboard!$C$20*tblHistory[[#This Row],[HY S]])/SUM(Dashboard!$C$18:$C$20)*100</f>
        <v/>
      </c>
      <c r="U288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288" s="43">
        <f>IFERROR(--(tblHistory[[#This Row],[Score]]&gt;=50),0)</f>
        <v/>
      </c>
      <c r="W288" s="43">
        <f>IFERROR(--AND(tblHistory[[#This Row],[Score]]&gt;=60,tblHistory[[#This Row],[BIZD S]]&gt;=0.8,tblHistory[[#This Row],[BKLN S]]&gt;=0.5),0)</f>
        <v/>
      </c>
      <c r="X288" s="43">
        <f>IFERROR(--AND(tblHistory[[#This Row],[Score]]&gt;=70,tblHistory[[#This Row],[SOX S]]&gt;=0.83,tblHistory[[#This Row],[AIQ S]]&gt;=0.8),0)</f>
        <v/>
      </c>
      <c r="Y288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288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288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288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288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289">
      <c r="A289" s="39" t="n">
        <v>45911</v>
      </c>
      <c r="B289" s="40" t="n">
        <v>26241.1</v>
      </c>
      <c r="C289" s="40" t="n">
        <v>9151.24</v>
      </c>
      <c r="D289" s="40" t="n">
        <v>43.48</v>
      </c>
      <c r="E289" s="40" t="n">
        <v>168.83</v>
      </c>
      <c r="F289" s="40" t="n">
        <v>14.85</v>
      </c>
      <c r="G289" s="40" t="n">
        <v>17.32</v>
      </c>
      <c r="H289" s="40" t="n">
        <v>20.68</v>
      </c>
      <c r="I289" s="41" t="n">
        <v>284</v>
      </c>
      <c r="J289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289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289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289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289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289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289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289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289" s="43">
        <f>(Dashboard!$C$13*tblHistory[[#This Row],[NDX S]]+Dashboard!$C$14*tblHistory[[#This Row],[SOX S]]+Dashboard!$C$15*tblHistory[[#This Row],[AIQ S]])/SUM(Dashboard!$C$13:$C$15)*100</f>
        <v/>
      </c>
      <c r="S289" s="43">
        <f>(Dashboard!$C$16*tblHistory[[#This Row],[ORCL S]]+Dashboard!$C$17*tblHistory[[#This Row],[CRWV S]])/SUM(Dashboard!$C$16:$C$17)*100</f>
        <v/>
      </c>
      <c r="T289" s="43">
        <f>(Dashboard!$C$18*tblHistory[[#This Row],[BIZD S]]+Dashboard!$C$19*tblHistory[[#This Row],[BKLN S]]+Dashboard!$C$20*tblHistory[[#This Row],[HY S]])/SUM(Dashboard!$C$18:$C$20)*100</f>
        <v/>
      </c>
      <c r="U289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289" s="43">
        <f>IFERROR(--(tblHistory[[#This Row],[Score]]&gt;=50),0)</f>
        <v/>
      </c>
      <c r="W289" s="43">
        <f>IFERROR(--AND(tblHistory[[#This Row],[Score]]&gt;=60,tblHistory[[#This Row],[BIZD S]]&gt;=0.8,tblHistory[[#This Row],[BKLN S]]&gt;=0.5),0)</f>
        <v/>
      </c>
      <c r="X289" s="43">
        <f>IFERROR(--AND(tblHistory[[#This Row],[Score]]&gt;=70,tblHistory[[#This Row],[SOX S]]&gt;=0.83,tblHistory[[#This Row],[AIQ S]]&gt;=0.8),0)</f>
        <v/>
      </c>
      <c r="Y289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289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289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289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289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290">
      <c r="A290" s="39" t="n">
        <v>45910</v>
      </c>
      <c r="B290" s="40" t="n">
        <v>25964.64</v>
      </c>
      <c r="C290" s="40" t="n">
        <v>9087.08</v>
      </c>
      <c r="D290" s="40" t="n">
        <v>44.27</v>
      </c>
      <c r="E290" s="40" t="n">
        <v>167.25</v>
      </c>
      <c r="F290" s="40" t="n">
        <v>15.44</v>
      </c>
      <c r="G290" s="40" t="n">
        <v>17.35</v>
      </c>
      <c r="H290" s="40" t="n">
        <v>20.78</v>
      </c>
      <c r="I290" s="41" t="n">
        <v>284</v>
      </c>
      <c r="J290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290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290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290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290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290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290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290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290" s="43">
        <f>(Dashboard!$C$13*tblHistory[[#This Row],[NDX S]]+Dashboard!$C$14*tblHistory[[#This Row],[SOX S]]+Dashboard!$C$15*tblHistory[[#This Row],[AIQ S]])/SUM(Dashboard!$C$13:$C$15)*100</f>
        <v/>
      </c>
      <c r="S290" s="43">
        <f>(Dashboard!$C$16*tblHistory[[#This Row],[ORCL S]]+Dashboard!$C$17*tblHistory[[#This Row],[CRWV S]])/SUM(Dashboard!$C$16:$C$17)*100</f>
        <v/>
      </c>
      <c r="T290" s="43">
        <f>(Dashboard!$C$18*tblHistory[[#This Row],[BIZD S]]+Dashboard!$C$19*tblHistory[[#This Row],[BKLN S]]+Dashboard!$C$20*tblHistory[[#This Row],[HY S]])/SUM(Dashboard!$C$18:$C$20)*100</f>
        <v/>
      </c>
      <c r="U290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290" s="43">
        <f>IFERROR(--(tblHistory[[#This Row],[Score]]&gt;=50),0)</f>
        <v/>
      </c>
      <c r="W290" s="43">
        <f>IFERROR(--AND(tblHistory[[#This Row],[Score]]&gt;=60,tblHistory[[#This Row],[BIZD S]]&gt;=0.8,tblHistory[[#This Row],[BKLN S]]&gt;=0.5),0)</f>
        <v/>
      </c>
      <c r="X290" s="43">
        <f>IFERROR(--AND(tblHistory[[#This Row],[Score]]&gt;=70,tblHistory[[#This Row],[SOX S]]&gt;=0.83,tblHistory[[#This Row],[AIQ S]]&gt;=0.8),0)</f>
        <v/>
      </c>
      <c r="Y290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290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290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290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290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291">
      <c r="A291" s="39" t="n">
        <v>45909</v>
      </c>
      <c r="B291" s="40" t="n">
        <v>25952.05</v>
      </c>
      <c r="C291" s="40" t="n">
        <v>8807.15</v>
      </c>
      <c r="D291" s="40" t="n">
        <v>44.23</v>
      </c>
      <c r="E291" s="40" t="n">
        <v>165.41</v>
      </c>
      <c r="F291" s="40" t="n">
        <v>15.55</v>
      </c>
      <c r="G291" s="40" t="n">
        <v>17.26</v>
      </c>
      <c r="H291" s="40" t="n">
        <v>20.74</v>
      </c>
      <c r="I291" s="41" t="n">
        <v>288</v>
      </c>
      <c r="J291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291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291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291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291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291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291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291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291" s="43">
        <f>(Dashboard!$C$13*tblHistory[[#This Row],[NDX S]]+Dashboard!$C$14*tblHistory[[#This Row],[SOX S]]+Dashboard!$C$15*tblHistory[[#This Row],[AIQ S]])/SUM(Dashboard!$C$13:$C$15)*100</f>
        <v/>
      </c>
      <c r="S291" s="43">
        <f>(Dashboard!$C$16*tblHistory[[#This Row],[ORCL S]]+Dashboard!$C$17*tblHistory[[#This Row],[CRWV S]])/SUM(Dashboard!$C$16:$C$17)*100</f>
        <v/>
      </c>
      <c r="T291" s="43">
        <f>(Dashboard!$C$18*tblHistory[[#This Row],[BIZD S]]+Dashboard!$C$19*tblHistory[[#This Row],[BKLN S]]+Dashboard!$C$20*tblHistory[[#This Row],[HY S]])/SUM(Dashboard!$C$18:$C$20)*100</f>
        <v/>
      </c>
      <c r="U291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291" s="43">
        <f>IFERROR(--(tblHistory[[#This Row],[Score]]&gt;=50),0)</f>
        <v/>
      </c>
      <c r="W291" s="43">
        <f>IFERROR(--AND(tblHistory[[#This Row],[Score]]&gt;=60,tblHistory[[#This Row],[BIZD S]]&gt;=0.8,tblHistory[[#This Row],[BKLN S]]&gt;=0.5),0)</f>
        <v/>
      </c>
      <c r="X291" s="43">
        <f>IFERROR(--AND(tblHistory[[#This Row],[Score]]&gt;=70,tblHistory[[#This Row],[SOX S]]&gt;=0.83,tblHistory[[#This Row],[AIQ S]]&gt;=0.8),0)</f>
        <v/>
      </c>
      <c r="Y291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291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291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291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291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292">
      <c r="A292" s="39" t="n">
        <v>45908</v>
      </c>
      <c r="B292" s="40" t="n">
        <v>26127.41</v>
      </c>
      <c r="C292" s="40" t="n">
        <v>9066.51</v>
      </c>
      <c r="D292" s="40" t="n">
        <v>44.39</v>
      </c>
      <c r="E292" s="40" t="n">
        <v>158.06</v>
      </c>
      <c r="F292" s="40" t="n">
        <v>16.14</v>
      </c>
      <c r="G292" s="40" t="n">
        <v>17.26</v>
      </c>
      <c r="H292" s="40" t="n">
        <v>20.76</v>
      </c>
      <c r="I292" s="41" t="n">
        <v>292</v>
      </c>
      <c r="J292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292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292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292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292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292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292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292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292" s="43">
        <f>(Dashboard!$C$13*tblHistory[[#This Row],[NDX S]]+Dashboard!$C$14*tblHistory[[#This Row],[SOX S]]+Dashboard!$C$15*tblHistory[[#This Row],[AIQ S]])/SUM(Dashboard!$C$13:$C$15)*100</f>
        <v/>
      </c>
      <c r="S292" s="43">
        <f>(Dashboard!$C$16*tblHistory[[#This Row],[ORCL S]]+Dashboard!$C$17*tblHistory[[#This Row],[CRWV S]])/SUM(Dashboard!$C$16:$C$17)*100</f>
        <v/>
      </c>
      <c r="T292" s="43">
        <f>(Dashboard!$C$18*tblHistory[[#This Row],[BIZD S]]+Dashboard!$C$19*tblHistory[[#This Row],[BKLN S]]+Dashboard!$C$20*tblHistory[[#This Row],[HY S]])/SUM(Dashboard!$C$18:$C$20)*100</f>
        <v/>
      </c>
      <c r="U292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292" s="43">
        <f>IFERROR(--(tblHistory[[#This Row],[Score]]&gt;=50),0)</f>
        <v/>
      </c>
      <c r="W292" s="43">
        <f>IFERROR(--AND(tblHistory[[#This Row],[Score]]&gt;=60,tblHistory[[#This Row],[BIZD S]]&gt;=0.8,tblHistory[[#This Row],[BKLN S]]&gt;=0.5),0)</f>
        <v/>
      </c>
      <c r="X292" s="43">
        <f>IFERROR(--AND(tblHistory[[#This Row],[Score]]&gt;=70,tblHistory[[#This Row],[SOX S]]&gt;=0.83,tblHistory[[#This Row],[AIQ S]]&gt;=0.8),0)</f>
        <v/>
      </c>
      <c r="Y292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292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292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292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292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293">
      <c r="A293" s="39" t="n">
        <v>45905</v>
      </c>
      <c r="B293" s="40" t="n">
        <v>26012.59</v>
      </c>
      <c r="C293" s="40" t="n">
        <v>9000.969999999999</v>
      </c>
      <c r="D293" s="40" t="n">
        <v>45.32</v>
      </c>
      <c r="E293" s="40" t="n">
        <v>159.98</v>
      </c>
      <c r="F293" s="40" t="n">
        <v>16.03</v>
      </c>
      <c r="G293" s="40" t="n">
        <v>17.24</v>
      </c>
      <c r="H293" s="40" t="n">
        <v>20.75</v>
      </c>
      <c r="I293" s="41" t="n">
        <v>295</v>
      </c>
      <c r="J293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293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293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293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293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293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293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293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293" s="43">
        <f>(Dashboard!$C$13*tblHistory[[#This Row],[NDX S]]+Dashboard!$C$14*tblHistory[[#This Row],[SOX S]]+Dashboard!$C$15*tblHistory[[#This Row],[AIQ S]])/SUM(Dashboard!$C$13:$C$15)*100</f>
        <v/>
      </c>
      <c r="S293" s="43">
        <f>(Dashboard!$C$16*tblHistory[[#This Row],[ORCL S]]+Dashboard!$C$17*tblHistory[[#This Row],[CRWV S]])/SUM(Dashboard!$C$16:$C$17)*100</f>
        <v/>
      </c>
      <c r="T293" s="43">
        <f>(Dashboard!$C$18*tblHistory[[#This Row],[BIZD S]]+Dashboard!$C$19*tblHistory[[#This Row],[BKLN S]]+Dashboard!$C$20*tblHistory[[#This Row],[HY S]])/SUM(Dashboard!$C$18:$C$20)*100</f>
        <v/>
      </c>
      <c r="U293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293" s="43">
        <f>IFERROR(--(tblHistory[[#This Row],[Score]]&gt;=50),0)</f>
        <v/>
      </c>
      <c r="W293" s="43">
        <f>IFERROR(--AND(tblHistory[[#This Row],[Score]]&gt;=60,tblHistory[[#This Row],[BIZD S]]&gt;=0.8,tblHistory[[#This Row],[BKLN S]]&gt;=0.5),0)</f>
        <v/>
      </c>
      <c r="X293" s="43">
        <f>IFERROR(--AND(tblHistory[[#This Row],[Score]]&gt;=70,tblHistory[[#This Row],[SOX S]]&gt;=0.83,tblHistory[[#This Row],[AIQ S]]&gt;=0.8),0)</f>
        <v/>
      </c>
      <c r="Y293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293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293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293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293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294">
      <c r="A294" s="39" t="n">
        <v>45904</v>
      </c>
      <c r="B294" s="40" t="n">
        <v>25742.81</v>
      </c>
      <c r="C294" s="40" t="n">
        <v>8812.18</v>
      </c>
      <c r="D294" s="40" t="n">
        <v>44.65</v>
      </c>
      <c r="E294" s="40" t="n">
        <v>160.28</v>
      </c>
      <c r="F294" s="40" t="n">
        <v>15.95</v>
      </c>
      <c r="G294" s="40" t="n">
        <v>17.35</v>
      </c>
      <c r="H294" s="40" t="n">
        <v>20.76</v>
      </c>
      <c r="I294" s="41" t="n"/>
      <c r="J294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294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294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294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294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294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294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294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294" s="43">
        <f>(Dashboard!$C$13*tblHistory[[#This Row],[NDX S]]+Dashboard!$C$14*tblHistory[[#This Row],[SOX S]]+Dashboard!$C$15*tblHistory[[#This Row],[AIQ S]])/SUM(Dashboard!$C$13:$C$15)*100</f>
        <v/>
      </c>
      <c r="S294" s="43">
        <f>(Dashboard!$C$16*tblHistory[[#This Row],[ORCL S]]+Dashboard!$C$17*tblHistory[[#This Row],[CRWV S]])/SUM(Dashboard!$C$16:$C$17)*100</f>
        <v/>
      </c>
      <c r="T294" s="43">
        <f>(Dashboard!$C$18*tblHistory[[#This Row],[BIZD S]]+Dashboard!$C$19*tblHistory[[#This Row],[BKLN S]]+Dashboard!$C$20*tblHistory[[#This Row],[HY S]])/SUM(Dashboard!$C$18:$C$20)*100</f>
        <v/>
      </c>
      <c r="U294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294" s="43">
        <f>IFERROR(--(tblHistory[[#This Row],[Score]]&gt;=50),0)</f>
        <v/>
      </c>
      <c r="W294" s="43">
        <f>IFERROR(--AND(tblHistory[[#This Row],[Score]]&gt;=60,tblHistory[[#This Row],[BIZD S]]&gt;=0.8,tblHistory[[#This Row],[BKLN S]]&gt;=0.5),0)</f>
        <v/>
      </c>
      <c r="X294" s="43">
        <f>IFERROR(--AND(tblHistory[[#This Row],[Score]]&gt;=70,tblHistory[[#This Row],[SOX S]]&gt;=0.83,tblHistory[[#This Row],[AIQ S]]&gt;=0.8),0)</f>
        <v/>
      </c>
      <c r="Y294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294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294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294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294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295">
      <c r="A295" s="39" t="n">
        <v>45903</v>
      </c>
      <c r="B295" s="40" t="n">
        <v>26306.14</v>
      </c>
      <c r="C295" s="40" t="n">
        <v>8967.639999999999</v>
      </c>
      <c r="D295" s="40" t="n">
        <v>44.56</v>
      </c>
      <c r="E295" s="40" t="n">
        <v>160.62</v>
      </c>
      <c r="F295" s="40" t="n">
        <v>15.82</v>
      </c>
      <c r="G295" s="40" t="n">
        <v>17.03</v>
      </c>
      <c r="H295" s="40" t="n">
        <v>20.74</v>
      </c>
      <c r="I295" s="41" t="n">
        <v>300</v>
      </c>
      <c r="J295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295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295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295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295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295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295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295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295" s="43">
        <f>(Dashboard!$C$13*tblHistory[[#This Row],[NDX S]]+Dashboard!$C$14*tblHistory[[#This Row],[SOX S]]+Dashboard!$C$15*tblHistory[[#This Row],[AIQ S]])/SUM(Dashboard!$C$13:$C$15)*100</f>
        <v/>
      </c>
      <c r="S295" s="43">
        <f>(Dashboard!$C$16*tblHistory[[#This Row],[ORCL S]]+Dashboard!$C$17*tblHistory[[#This Row],[CRWV S]])/SUM(Dashboard!$C$16:$C$17)*100</f>
        <v/>
      </c>
      <c r="T295" s="43">
        <f>(Dashboard!$C$18*tblHistory[[#This Row],[BIZD S]]+Dashboard!$C$19*tblHistory[[#This Row],[BKLN S]]+Dashboard!$C$20*tblHistory[[#This Row],[HY S]])/SUM(Dashboard!$C$18:$C$20)*100</f>
        <v/>
      </c>
      <c r="U295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295" s="43">
        <f>IFERROR(--(tblHistory[[#This Row],[Score]]&gt;=50),0)</f>
        <v/>
      </c>
      <c r="W295" s="43">
        <f>IFERROR(--AND(tblHistory[[#This Row],[Score]]&gt;=60,tblHistory[[#This Row],[BIZD S]]&gt;=0.8,tblHistory[[#This Row],[BKLN S]]&gt;=0.5),0)</f>
        <v/>
      </c>
      <c r="X295" s="43">
        <f>IFERROR(--AND(tblHistory[[#This Row],[Score]]&gt;=70,tblHistory[[#This Row],[SOX S]]&gt;=0.83,tblHistory[[#This Row],[AIQ S]]&gt;=0.8),0)</f>
        <v/>
      </c>
      <c r="Y295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295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295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295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295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296">
      <c r="A296" s="39" t="n">
        <v>45902</v>
      </c>
      <c r="B296" s="40" t="n">
        <v>26412.8</v>
      </c>
      <c r="C296" s="40" t="n">
        <v>8882.49</v>
      </c>
      <c r="D296" s="40" t="n">
        <v>43.71</v>
      </c>
      <c r="E296" s="40" t="n">
        <v>160.71</v>
      </c>
      <c r="F296" s="40" t="n">
        <v>16.65</v>
      </c>
      <c r="G296" s="40" t="n">
        <v>17.19</v>
      </c>
      <c r="H296" s="40" t="n">
        <v>20.74</v>
      </c>
      <c r="I296" s="41" t="n">
        <v>300</v>
      </c>
      <c r="J296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296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296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296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296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296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296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296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296" s="43">
        <f>(Dashboard!$C$13*tblHistory[[#This Row],[NDX S]]+Dashboard!$C$14*tblHistory[[#This Row],[SOX S]]+Dashboard!$C$15*tblHistory[[#This Row],[AIQ S]])/SUM(Dashboard!$C$13:$C$15)*100</f>
        <v/>
      </c>
      <c r="S296" s="43">
        <f>(Dashboard!$C$16*tblHistory[[#This Row],[ORCL S]]+Dashboard!$C$17*tblHistory[[#This Row],[CRWV S]])/SUM(Dashboard!$C$16:$C$17)*100</f>
        <v/>
      </c>
      <c r="T296" s="43">
        <f>(Dashboard!$C$18*tblHistory[[#This Row],[BIZD S]]+Dashboard!$C$19*tblHistory[[#This Row],[BKLN S]]+Dashboard!$C$20*tblHistory[[#This Row],[HY S]])/SUM(Dashboard!$C$18:$C$20)*100</f>
        <v/>
      </c>
      <c r="U296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296" s="43">
        <f>IFERROR(--(tblHistory[[#This Row],[Score]]&gt;=50),0)</f>
        <v/>
      </c>
      <c r="W296" s="43">
        <f>IFERROR(--AND(tblHistory[[#This Row],[Score]]&gt;=60,tblHistory[[#This Row],[BIZD S]]&gt;=0.8,tblHistory[[#This Row],[BKLN S]]&gt;=0.5),0)</f>
        <v/>
      </c>
      <c r="X296" s="43">
        <f>IFERROR(--AND(tblHistory[[#This Row],[Score]]&gt;=70,tblHistory[[#This Row],[SOX S]]&gt;=0.83,tblHistory[[#This Row],[AIQ S]]&gt;=0.8),0)</f>
        <v/>
      </c>
      <c r="Y296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296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296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296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296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297">
      <c r="A297" s="39" t="n">
        <v>45901</v>
      </c>
      <c r="B297" s="40" t="n">
        <v>27134.59</v>
      </c>
      <c r="C297" s="40" t="n">
        <v>8634.200000000001</v>
      </c>
      <c r="D297" s="40" t="n">
        <v>44.55</v>
      </c>
      <c r="E297" s="40" t="n">
        <v>158.81</v>
      </c>
      <c r="F297" s="40" t="n">
        <v>17.67</v>
      </c>
      <c r="G297" s="40" t="n">
        <v>17.15</v>
      </c>
      <c r="H297" s="40" t="n">
        <v>20.76</v>
      </c>
      <c r="I297" s="41" t="n">
        <v>296</v>
      </c>
      <c r="J297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297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297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297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297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297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297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297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297" s="43">
        <f>(Dashboard!$C$13*tblHistory[[#This Row],[NDX S]]+Dashboard!$C$14*tblHistory[[#This Row],[SOX S]]+Dashboard!$C$15*tblHistory[[#This Row],[AIQ S]])/SUM(Dashboard!$C$13:$C$15)*100</f>
        <v/>
      </c>
      <c r="S297" s="43">
        <f>(Dashboard!$C$16*tblHistory[[#This Row],[ORCL S]]+Dashboard!$C$17*tblHistory[[#This Row],[CRWV S]])/SUM(Dashboard!$C$16:$C$17)*100</f>
        <v/>
      </c>
      <c r="T297" s="43">
        <f>(Dashboard!$C$18*tblHistory[[#This Row],[BIZD S]]+Dashboard!$C$19*tblHistory[[#This Row],[BKLN S]]+Dashboard!$C$20*tblHistory[[#This Row],[HY S]])/SUM(Dashboard!$C$18:$C$20)*100</f>
        <v/>
      </c>
      <c r="U297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297" s="43">
        <f>IFERROR(--(tblHistory[[#This Row],[Score]]&gt;=50),0)</f>
        <v/>
      </c>
      <c r="W297" s="43">
        <f>IFERROR(--AND(tblHistory[[#This Row],[Score]]&gt;=60,tblHistory[[#This Row],[BIZD S]]&gt;=0.8,tblHistory[[#This Row],[BKLN S]]&gt;=0.5),0)</f>
        <v/>
      </c>
      <c r="X297" s="43">
        <f>IFERROR(--AND(tblHistory[[#This Row],[Score]]&gt;=70,tblHistory[[#This Row],[SOX S]]&gt;=0.83,tblHistory[[#This Row],[AIQ S]]&gt;=0.8),0)</f>
        <v/>
      </c>
      <c r="Y297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297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297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297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297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298">
      <c r="A298" s="39" t="n">
        <v>45898</v>
      </c>
      <c r="B298" s="40" t="n">
        <v>27204.18</v>
      </c>
      <c r="C298" s="40" t="n">
        <v>8819.25</v>
      </c>
      <c r="D298" s="40" t="n">
        <v>44.92</v>
      </c>
      <c r="E298" s="40" t="n">
        <v>158.56</v>
      </c>
      <c r="F298" s="40" t="n">
        <v>17.85</v>
      </c>
      <c r="G298" s="40" t="n">
        <v>17.04</v>
      </c>
      <c r="H298" s="40" t="n">
        <v>20.78</v>
      </c>
      <c r="I298" s="41" t="n">
        <v>305</v>
      </c>
      <c r="J298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298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298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298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298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298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298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298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298" s="43">
        <f>(Dashboard!$C$13*tblHistory[[#This Row],[NDX S]]+Dashboard!$C$14*tblHistory[[#This Row],[SOX S]]+Dashboard!$C$15*tblHistory[[#This Row],[AIQ S]])/SUM(Dashboard!$C$13:$C$15)*100</f>
        <v/>
      </c>
      <c r="S298" s="43">
        <f>(Dashboard!$C$16*tblHistory[[#This Row],[ORCL S]]+Dashboard!$C$17*tblHistory[[#This Row],[CRWV S]])/SUM(Dashboard!$C$16:$C$17)*100</f>
        <v/>
      </c>
      <c r="T298" s="43">
        <f>(Dashboard!$C$18*tblHistory[[#This Row],[BIZD S]]+Dashboard!$C$19*tblHistory[[#This Row],[BKLN S]]+Dashboard!$C$20*tblHistory[[#This Row],[HY S]])/SUM(Dashboard!$C$18:$C$20)*100</f>
        <v/>
      </c>
      <c r="U298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298" s="43">
        <f>IFERROR(--(tblHistory[[#This Row],[Score]]&gt;=50),0)</f>
        <v/>
      </c>
      <c r="W298" s="43">
        <f>IFERROR(--AND(tblHistory[[#This Row],[Score]]&gt;=60,tblHistory[[#This Row],[BIZD S]]&gt;=0.8,tblHistory[[#This Row],[BKLN S]]&gt;=0.5),0)</f>
        <v/>
      </c>
      <c r="X298" s="43">
        <f>IFERROR(--AND(tblHistory[[#This Row],[Score]]&gt;=70,tblHistory[[#This Row],[SOX S]]&gt;=0.83,tblHistory[[#This Row],[AIQ S]]&gt;=0.8),0)</f>
        <v/>
      </c>
      <c r="Y298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298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298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298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298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299">
      <c r="A299" s="39" t="n">
        <v>45897</v>
      </c>
      <c r="B299" s="40" t="n">
        <v>26727.15</v>
      </c>
      <c r="C299" s="40" t="n">
        <v>8838.530000000001</v>
      </c>
      <c r="D299" s="40" t="n">
        <v>44.34</v>
      </c>
      <c r="E299" s="40" t="n">
        <v>158.21</v>
      </c>
      <c r="F299" s="40" t="n">
        <v>19.35</v>
      </c>
      <c r="G299" s="40" t="n">
        <v>17.08</v>
      </c>
      <c r="H299" s="40" t="n">
        <v>20.8</v>
      </c>
      <c r="I299" s="41" t="n">
        <v>295</v>
      </c>
      <c r="J299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299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299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299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299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299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299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299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299" s="43">
        <f>(Dashboard!$C$13*tblHistory[[#This Row],[NDX S]]+Dashboard!$C$14*tblHistory[[#This Row],[SOX S]]+Dashboard!$C$15*tblHistory[[#This Row],[AIQ S]])/SUM(Dashboard!$C$13:$C$15)*100</f>
        <v/>
      </c>
      <c r="S299" s="43">
        <f>(Dashboard!$C$16*tblHistory[[#This Row],[ORCL S]]+Dashboard!$C$17*tblHistory[[#This Row],[CRWV S]])/SUM(Dashboard!$C$16:$C$17)*100</f>
        <v/>
      </c>
      <c r="T299" s="43">
        <f>(Dashboard!$C$18*tblHistory[[#This Row],[BIZD S]]+Dashboard!$C$19*tblHistory[[#This Row],[BKLN S]]+Dashboard!$C$20*tblHistory[[#This Row],[HY S]])/SUM(Dashboard!$C$18:$C$20)*100</f>
        <v/>
      </c>
      <c r="U299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299" s="43">
        <f>IFERROR(--(tblHistory[[#This Row],[Score]]&gt;=50),0)</f>
        <v/>
      </c>
      <c r="W299" s="43">
        <f>IFERROR(--AND(tblHistory[[#This Row],[Score]]&gt;=60,tblHistory[[#This Row],[BIZD S]]&gt;=0.8,tblHistory[[#This Row],[BKLN S]]&gt;=0.5),0)</f>
        <v/>
      </c>
      <c r="X299" s="43">
        <f>IFERROR(--AND(tblHistory[[#This Row],[Score]]&gt;=70,tblHistory[[#This Row],[SOX S]]&gt;=0.83,tblHistory[[#This Row],[AIQ S]]&gt;=0.8),0)</f>
        <v/>
      </c>
      <c r="Y299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299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299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299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299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300">
      <c r="A300" s="39" t="n">
        <v>45896</v>
      </c>
      <c r="B300" s="40" t="n">
        <v>26671.34</v>
      </c>
      <c r="C300" s="40" t="n">
        <v>8721.5</v>
      </c>
      <c r="D300" s="40" t="n">
        <v>43.88</v>
      </c>
      <c r="E300" s="40" t="n">
        <v>160</v>
      </c>
      <c r="F300" s="40" t="n">
        <v>19</v>
      </c>
      <c r="G300" s="40" t="n">
        <v>17.19</v>
      </c>
      <c r="H300" s="40" t="n">
        <v>20.78</v>
      </c>
      <c r="I300" s="41" t="n"/>
      <c r="J300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300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300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300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300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300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300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300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300" s="43">
        <f>(Dashboard!$C$13*tblHistory[[#This Row],[NDX S]]+Dashboard!$C$14*tblHistory[[#This Row],[SOX S]]+Dashboard!$C$15*tblHistory[[#This Row],[AIQ S]])/SUM(Dashboard!$C$13:$C$15)*100</f>
        <v/>
      </c>
      <c r="S300" s="43">
        <f>(Dashboard!$C$16*tblHistory[[#This Row],[ORCL S]]+Dashboard!$C$17*tblHistory[[#This Row],[CRWV S]])/SUM(Dashboard!$C$16:$C$17)*100</f>
        <v/>
      </c>
      <c r="T300" s="43">
        <f>(Dashboard!$C$18*tblHistory[[#This Row],[BIZD S]]+Dashboard!$C$19*tblHistory[[#This Row],[BKLN S]]+Dashboard!$C$20*tblHistory[[#This Row],[HY S]])/SUM(Dashboard!$C$18:$C$20)*100</f>
        <v/>
      </c>
      <c r="U300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300" s="43">
        <f>IFERROR(--(tblHistory[[#This Row],[Score]]&gt;=50),0)</f>
        <v/>
      </c>
      <c r="W300" s="43">
        <f>IFERROR(--AND(tblHistory[[#This Row],[Score]]&gt;=60,tblHistory[[#This Row],[BIZD S]]&gt;=0.8,tblHistory[[#This Row],[BKLN S]]&gt;=0.5),0)</f>
        <v/>
      </c>
      <c r="X300" s="43">
        <f>IFERROR(--AND(tblHistory[[#This Row],[Score]]&gt;=70,tblHistory[[#This Row],[SOX S]]&gt;=0.83,tblHistory[[#This Row],[AIQ S]]&gt;=0.8),0)</f>
        <v/>
      </c>
      <c r="Y300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300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300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300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300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301">
      <c r="A301" s="39" t="n">
        <v>45895</v>
      </c>
      <c r="B301" s="40" t="n">
        <v>26618.53</v>
      </c>
      <c r="C301" s="40" t="n">
        <v>8738.9</v>
      </c>
      <c r="D301" s="40" t="n">
        <v>43.73</v>
      </c>
      <c r="E301" s="40" t="n">
        <v>158.23</v>
      </c>
      <c r="F301" s="40" t="n">
        <v>18.55</v>
      </c>
      <c r="G301" s="40" t="n">
        <v>17.28</v>
      </c>
      <c r="H301" s="40" t="n">
        <v>20.78</v>
      </c>
      <c r="I301" s="41" t="n">
        <v>288</v>
      </c>
      <c r="J301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301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301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301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301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301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301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301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301" s="43">
        <f>(Dashboard!$C$13*tblHistory[[#This Row],[NDX S]]+Dashboard!$C$14*tblHistory[[#This Row],[SOX S]]+Dashboard!$C$15*tblHistory[[#This Row],[AIQ S]])/SUM(Dashboard!$C$13:$C$15)*100</f>
        <v/>
      </c>
      <c r="S301" s="43">
        <f>(Dashboard!$C$16*tblHistory[[#This Row],[ORCL S]]+Dashboard!$C$17*tblHistory[[#This Row],[CRWV S]])/SUM(Dashboard!$C$16:$C$17)*100</f>
        <v/>
      </c>
      <c r="T301" s="43">
        <f>(Dashboard!$C$18*tblHistory[[#This Row],[BIZD S]]+Dashboard!$C$19*tblHistory[[#This Row],[BKLN S]]+Dashboard!$C$20*tblHistory[[#This Row],[HY S]])/SUM(Dashboard!$C$18:$C$20)*100</f>
        <v/>
      </c>
      <c r="U301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301" s="43">
        <f>IFERROR(--(tblHistory[[#This Row],[Score]]&gt;=50),0)</f>
        <v/>
      </c>
      <c r="W301" s="43">
        <f>IFERROR(--AND(tblHistory[[#This Row],[Score]]&gt;=60,tblHistory[[#This Row],[BIZD S]]&gt;=0.8,tblHistory[[#This Row],[BKLN S]]&gt;=0.5),0)</f>
        <v/>
      </c>
      <c r="X301" s="43">
        <f>IFERROR(--AND(tblHistory[[#This Row],[Score]]&gt;=70,tblHistory[[#This Row],[SOX S]]&gt;=0.83,tblHistory[[#This Row],[AIQ S]]&gt;=0.8),0)</f>
        <v/>
      </c>
      <c r="Y301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301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301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301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301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302">
      <c r="A302" s="39" t="n">
        <v>45894</v>
      </c>
      <c r="B302" s="40" t="n">
        <v>26279.38</v>
      </c>
      <c r="C302" s="40" t="n">
        <v>8651.209999999999</v>
      </c>
      <c r="D302" s="40" t="n">
        <v>43.79</v>
      </c>
      <c r="E302" s="40" t="n">
        <v>158.18</v>
      </c>
      <c r="F302" s="40" t="n">
        <v>18.91</v>
      </c>
      <c r="G302" s="40" t="n">
        <v>17.35</v>
      </c>
      <c r="H302" s="40" t="n">
        <v>20.76</v>
      </c>
      <c r="I302" s="41" t="n">
        <v>285</v>
      </c>
      <c r="J302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302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302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302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302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302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302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302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302" s="43">
        <f>(Dashboard!$C$13*tblHistory[[#This Row],[NDX S]]+Dashboard!$C$14*tblHistory[[#This Row],[SOX S]]+Dashboard!$C$15*tblHistory[[#This Row],[AIQ S]])/SUM(Dashboard!$C$13:$C$15)*100</f>
        <v/>
      </c>
      <c r="S302" s="43">
        <f>(Dashboard!$C$16*tblHistory[[#This Row],[ORCL S]]+Dashboard!$C$17*tblHistory[[#This Row],[CRWV S]])/SUM(Dashboard!$C$16:$C$17)*100</f>
        <v/>
      </c>
      <c r="T302" s="43">
        <f>(Dashboard!$C$18*tblHistory[[#This Row],[BIZD S]]+Dashboard!$C$19*tblHistory[[#This Row],[BKLN S]]+Dashboard!$C$20*tblHistory[[#This Row],[HY S]])/SUM(Dashboard!$C$18:$C$20)*100</f>
        <v/>
      </c>
      <c r="U302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302" s="43">
        <f>IFERROR(--(tblHistory[[#This Row],[Score]]&gt;=50),0)</f>
        <v/>
      </c>
      <c r="W302" s="43">
        <f>IFERROR(--AND(tblHistory[[#This Row],[Score]]&gt;=60,tblHistory[[#This Row],[BIZD S]]&gt;=0.8,tblHistory[[#This Row],[BKLN S]]&gt;=0.5),0)</f>
        <v/>
      </c>
      <c r="X302" s="43">
        <f>IFERROR(--AND(tblHistory[[#This Row],[Score]]&gt;=70,tblHistory[[#This Row],[SOX S]]&gt;=0.83,tblHistory[[#This Row],[AIQ S]]&gt;=0.8),0)</f>
        <v/>
      </c>
      <c r="Y302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302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302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302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302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303">
      <c r="A303" s="39" t="n">
        <v>45891</v>
      </c>
      <c r="B303" s="40" t="n">
        <v>26499.16</v>
      </c>
      <c r="C303" s="40" t="n">
        <v>8496.26</v>
      </c>
      <c r="D303" s="40" t="n">
        <v>43.67</v>
      </c>
      <c r="E303" s="40" t="n">
        <v>156.34</v>
      </c>
      <c r="F303" s="40" t="n">
        <v>18.85</v>
      </c>
      <c r="G303" s="40" t="n">
        <v>17.49</v>
      </c>
      <c r="H303" s="40" t="n">
        <v>20.69</v>
      </c>
      <c r="I303" s="41" t="n">
        <v>288</v>
      </c>
      <c r="J303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303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303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303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303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303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303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303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303" s="43">
        <f>(Dashboard!$C$13*tblHistory[[#This Row],[NDX S]]+Dashboard!$C$14*tblHistory[[#This Row],[SOX S]]+Dashboard!$C$15*tblHistory[[#This Row],[AIQ S]])/SUM(Dashboard!$C$13:$C$15)*100</f>
        <v/>
      </c>
      <c r="S303" s="43">
        <f>(Dashboard!$C$16*tblHistory[[#This Row],[ORCL S]]+Dashboard!$C$17*tblHistory[[#This Row],[CRWV S]])/SUM(Dashboard!$C$16:$C$17)*100</f>
        <v/>
      </c>
      <c r="T303" s="43">
        <f>(Dashboard!$C$18*tblHistory[[#This Row],[BIZD S]]+Dashboard!$C$19*tblHistory[[#This Row],[BKLN S]]+Dashboard!$C$20*tblHistory[[#This Row],[HY S]])/SUM(Dashboard!$C$18:$C$20)*100</f>
        <v/>
      </c>
      <c r="U303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303" s="43">
        <f>IFERROR(--(tblHistory[[#This Row],[Score]]&gt;=50),0)</f>
        <v/>
      </c>
      <c r="W303" s="43">
        <f>IFERROR(--AND(tblHistory[[#This Row],[Score]]&gt;=60,tblHistory[[#This Row],[BIZD S]]&gt;=0.8,tblHistory[[#This Row],[BKLN S]]&gt;=0.5),0)</f>
        <v/>
      </c>
      <c r="X303" s="43">
        <f>IFERROR(--AND(tblHistory[[#This Row],[Score]]&gt;=70,tblHistory[[#This Row],[SOX S]]&gt;=0.83,tblHistory[[#This Row],[AIQ S]]&gt;=0.8),0)</f>
        <v/>
      </c>
      <c r="Y303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303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303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303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303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304">
      <c r="A304" s="39" t="n">
        <v>45890</v>
      </c>
      <c r="B304" s="40" t="n">
        <v>26540.73</v>
      </c>
      <c r="C304" s="40" t="n">
        <v>8518.309999999999</v>
      </c>
      <c r="D304" s="40" t="n">
        <v>43.79</v>
      </c>
      <c r="E304" s="40" t="n">
        <v>154.05</v>
      </c>
      <c r="F304" s="40" t="n">
        <v>18.47</v>
      </c>
      <c r="G304" s="40" t="n">
        <v>17.5</v>
      </c>
      <c r="H304" s="40" t="n">
        <v>20.67</v>
      </c>
      <c r="I304" s="41" t="n">
        <v>276</v>
      </c>
      <c r="J304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304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304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304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304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304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304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304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304" s="43">
        <f>(Dashboard!$C$13*tblHistory[[#This Row],[NDX S]]+Dashboard!$C$14*tblHistory[[#This Row],[SOX S]]+Dashboard!$C$15*tblHistory[[#This Row],[AIQ S]])/SUM(Dashboard!$C$13:$C$15)*100</f>
        <v/>
      </c>
      <c r="S304" s="43">
        <f>(Dashboard!$C$16*tblHistory[[#This Row],[ORCL S]]+Dashboard!$C$17*tblHistory[[#This Row],[CRWV S]])/SUM(Dashboard!$C$16:$C$17)*100</f>
        <v/>
      </c>
      <c r="T304" s="43">
        <f>(Dashboard!$C$18*tblHistory[[#This Row],[BIZD S]]+Dashboard!$C$19*tblHistory[[#This Row],[BKLN S]]+Dashboard!$C$20*tblHistory[[#This Row],[HY S]])/SUM(Dashboard!$C$18:$C$20)*100</f>
        <v/>
      </c>
      <c r="U304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304" s="43">
        <f>IFERROR(--(tblHistory[[#This Row],[Score]]&gt;=50),0)</f>
        <v/>
      </c>
      <c r="W304" s="43">
        <f>IFERROR(--AND(tblHistory[[#This Row],[Score]]&gt;=60,tblHistory[[#This Row],[BIZD S]]&gt;=0.8,tblHistory[[#This Row],[BKLN S]]&gt;=0.5),0)</f>
        <v/>
      </c>
      <c r="X304" s="43">
        <f>IFERROR(--AND(tblHistory[[#This Row],[Score]]&gt;=70,tblHistory[[#This Row],[SOX S]]&gt;=0.83,tblHistory[[#This Row],[AIQ S]]&gt;=0.8),0)</f>
        <v/>
      </c>
      <c r="Y304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304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304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304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304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305">
      <c r="A305" s="39" t="n">
        <v>45889</v>
      </c>
      <c r="B305" s="40" t="n">
        <v>26066.57</v>
      </c>
      <c r="C305" s="40" t="n">
        <v>8501.639999999999</v>
      </c>
      <c r="D305" s="40" t="n">
        <v>43.58</v>
      </c>
      <c r="E305" s="40" t="n">
        <v>156.77</v>
      </c>
      <c r="F305" s="40" t="n">
        <v>18.09</v>
      </c>
      <c r="G305" s="40" t="n">
        <v>17.3</v>
      </c>
      <c r="H305" s="40" t="n">
        <v>20.62</v>
      </c>
      <c r="I305" s="41" t="n">
        <v>279</v>
      </c>
      <c r="J305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305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305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305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305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305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305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305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305" s="43">
        <f>(Dashboard!$C$13*tblHistory[[#This Row],[NDX S]]+Dashboard!$C$14*tblHistory[[#This Row],[SOX S]]+Dashboard!$C$15*tblHistory[[#This Row],[AIQ S]])/SUM(Dashboard!$C$13:$C$15)*100</f>
        <v/>
      </c>
      <c r="S305" s="43">
        <f>(Dashboard!$C$16*tblHistory[[#This Row],[ORCL S]]+Dashboard!$C$17*tblHistory[[#This Row],[CRWV S]])/SUM(Dashboard!$C$16:$C$17)*100</f>
        <v/>
      </c>
      <c r="T305" s="43">
        <f>(Dashboard!$C$18*tblHistory[[#This Row],[BIZD S]]+Dashboard!$C$19*tblHistory[[#This Row],[BKLN S]]+Dashboard!$C$20*tblHistory[[#This Row],[HY S]])/SUM(Dashboard!$C$18:$C$20)*100</f>
        <v/>
      </c>
      <c r="U305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305" s="43">
        <f>IFERROR(--(tblHistory[[#This Row],[Score]]&gt;=50),0)</f>
        <v/>
      </c>
      <c r="W305" s="43">
        <f>IFERROR(--AND(tblHistory[[#This Row],[Score]]&gt;=60,tblHistory[[#This Row],[BIZD S]]&gt;=0.8,tblHistory[[#This Row],[BKLN S]]&gt;=0.5),0)</f>
        <v/>
      </c>
      <c r="X305" s="43">
        <f>IFERROR(--AND(tblHistory[[#This Row],[Score]]&gt;=70,tblHistory[[#This Row],[SOX S]]&gt;=0.83,tblHistory[[#This Row],[AIQ S]]&gt;=0.8),0)</f>
        <v/>
      </c>
      <c r="Y305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305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305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305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305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306">
      <c r="A306" s="39" t="n">
        <v>45888</v>
      </c>
      <c r="B306" s="40" t="n">
        <v>25590.09</v>
      </c>
      <c r="C306" s="40" t="n">
        <v>8489.75</v>
      </c>
      <c r="D306" s="40" t="n">
        <v>43.23</v>
      </c>
      <c r="E306" s="40" t="n">
        <v>161.14</v>
      </c>
      <c r="F306" s="40" t="n">
        <v>18.43</v>
      </c>
      <c r="G306" s="40" t="n">
        <v>17.37</v>
      </c>
      <c r="H306" s="40" t="n">
        <v>20.64</v>
      </c>
      <c r="I306" s="41" t="n">
        <v>281</v>
      </c>
      <c r="J306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306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306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306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306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306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306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306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306" s="43">
        <f>(Dashboard!$C$13*tblHistory[[#This Row],[NDX S]]+Dashboard!$C$14*tblHistory[[#This Row],[SOX S]]+Dashboard!$C$15*tblHistory[[#This Row],[AIQ S]])/SUM(Dashboard!$C$13:$C$15)*100</f>
        <v/>
      </c>
      <c r="S306" s="43">
        <f>(Dashboard!$C$16*tblHistory[[#This Row],[ORCL S]]+Dashboard!$C$17*tblHistory[[#This Row],[CRWV S]])/SUM(Dashboard!$C$16:$C$17)*100</f>
        <v/>
      </c>
      <c r="T306" s="43">
        <f>(Dashboard!$C$18*tblHistory[[#This Row],[BIZD S]]+Dashboard!$C$19*tblHistory[[#This Row],[BKLN S]]+Dashboard!$C$20*tblHistory[[#This Row],[HY S]])/SUM(Dashboard!$C$18:$C$20)*100</f>
        <v/>
      </c>
      <c r="U306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306" s="43">
        <f>IFERROR(--(tblHistory[[#This Row],[Score]]&gt;=50),0)</f>
        <v/>
      </c>
      <c r="W306" s="43">
        <f>IFERROR(--AND(tblHistory[[#This Row],[Score]]&gt;=60,tblHistory[[#This Row],[BIZD S]]&gt;=0.8,tblHistory[[#This Row],[BKLN S]]&gt;=0.5),0)</f>
        <v/>
      </c>
      <c r="X306" s="43">
        <f>IFERROR(--AND(tblHistory[[#This Row],[Score]]&gt;=70,tblHistory[[#This Row],[SOX S]]&gt;=0.83,tblHistory[[#This Row],[AIQ S]]&gt;=0.8),0)</f>
        <v/>
      </c>
      <c r="Y306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306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306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306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306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307">
      <c r="A307" s="39" t="n">
        <v>45887</v>
      </c>
      <c r="B307" s="40" t="n">
        <v>25228.4</v>
      </c>
      <c r="C307" s="40" t="n">
        <v>8381.379999999999</v>
      </c>
      <c r="D307" s="40" t="n">
        <v>43.66</v>
      </c>
      <c r="E307" s="40" t="n">
        <v>163.46</v>
      </c>
      <c r="F307" s="40" t="n">
        <v>19.17</v>
      </c>
      <c r="G307" s="40" t="n">
        <v>17.44</v>
      </c>
      <c r="H307" s="40" t="n">
        <v>20.64</v>
      </c>
      <c r="I307" s="41" t="n">
        <v>282</v>
      </c>
      <c r="J307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307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307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307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307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307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307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307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307" s="43">
        <f>(Dashboard!$C$13*tblHistory[[#This Row],[NDX S]]+Dashboard!$C$14*tblHistory[[#This Row],[SOX S]]+Dashboard!$C$15*tblHistory[[#This Row],[AIQ S]])/SUM(Dashboard!$C$13:$C$15)*100</f>
        <v/>
      </c>
      <c r="S307" s="43">
        <f>(Dashboard!$C$16*tblHistory[[#This Row],[ORCL S]]+Dashboard!$C$17*tblHistory[[#This Row],[CRWV S]])/SUM(Dashboard!$C$16:$C$17)*100</f>
        <v/>
      </c>
      <c r="T307" s="43">
        <f>(Dashboard!$C$18*tblHistory[[#This Row],[BIZD S]]+Dashboard!$C$19*tblHistory[[#This Row],[BKLN S]]+Dashboard!$C$20*tblHistory[[#This Row],[HY S]])/SUM(Dashboard!$C$18:$C$20)*100</f>
        <v/>
      </c>
      <c r="U307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307" s="43">
        <f>IFERROR(--(tblHistory[[#This Row],[Score]]&gt;=50),0)</f>
        <v/>
      </c>
      <c r="W307" s="43">
        <f>IFERROR(--AND(tblHistory[[#This Row],[Score]]&gt;=60,tblHistory[[#This Row],[BIZD S]]&gt;=0.8,tblHistory[[#This Row],[BKLN S]]&gt;=0.5),0)</f>
        <v/>
      </c>
      <c r="X307" s="43">
        <f>IFERROR(--AND(tblHistory[[#This Row],[Score]]&gt;=70,tblHistory[[#This Row],[SOX S]]&gt;=0.83,tblHistory[[#This Row],[AIQ S]]&gt;=0.8),0)</f>
        <v/>
      </c>
      <c r="Y307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307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307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307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307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308">
      <c r="A308" s="39" t="n">
        <v>45884</v>
      </c>
      <c r="B308" s="40" t="n">
        <v>25523.82</v>
      </c>
      <c r="C308" s="40" t="n">
        <v>8476.440000000001</v>
      </c>
      <c r="D308" s="40" t="n">
        <v>44.02</v>
      </c>
      <c r="E308" s="40" t="n">
        <v>164.56</v>
      </c>
      <c r="F308" s="40" t="n">
        <v>19.72</v>
      </c>
      <c r="G308" s="40" t="n">
        <v>17.27</v>
      </c>
      <c r="H308" s="40" t="n">
        <v>20.56</v>
      </c>
      <c r="I308" s="41" t="n">
        <v>296</v>
      </c>
      <c r="J308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308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308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308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308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308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308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308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308" s="43">
        <f>(Dashboard!$C$13*tblHistory[[#This Row],[NDX S]]+Dashboard!$C$14*tblHistory[[#This Row],[SOX S]]+Dashboard!$C$15*tblHistory[[#This Row],[AIQ S]])/SUM(Dashboard!$C$13:$C$15)*100</f>
        <v/>
      </c>
      <c r="S308" s="43">
        <f>(Dashboard!$C$16*tblHistory[[#This Row],[ORCL S]]+Dashboard!$C$17*tblHistory[[#This Row],[CRWV S]])/SUM(Dashboard!$C$16:$C$17)*100</f>
        <v/>
      </c>
      <c r="T308" s="43">
        <f>(Dashboard!$C$18*tblHistory[[#This Row],[BIZD S]]+Dashboard!$C$19*tblHistory[[#This Row],[BKLN S]]+Dashboard!$C$20*tblHistory[[#This Row],[HY S]])/SUM(Dashboard!$C$18:$C$20)*100</f>
        <v/>
      </c>
      <c r="U308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308" s="43">
        <f>IFERROR(--(tblHistory[[#This Row],[Score]]&gt;=50),0)</f>
        <v/>
      </c>
      <c r="W308" s="43">
        <f>IFERROR(--AND(tblHistory[[#This Row],[Score]]&gt;=60,tblHistory[[#This Row],[BIZD S]]&gt;=0.8,tblHistory[[#This Row],[BKLN S]]&gt;=0.5),0)</f>
        <v/>
      </c>
      <c r="X308" s="43">
        <f>IFERROR(--AND(tblHistory[[#This Row],[Score]]&gt;=70,tblHistory[[#This Row],[SOX S]]&gt;=0.83,tblHistory[[#This Row],[AIQ S]]&gt;=0.8),0)</f>
        <v/>
      </c>
      <c r="Y308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308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308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308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308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309">
      <c r="A309" s="39" t="n">
        <v>45883</v>
      </c>
      <c r="B309" s="40" t="n">
        <v>25054.04</v>
      </c>
      <c r="C309" s="40" t="n">
        <v>8606.43</v>
      </c>
      <c r="D309" s="40" t="n">
        <v>44.37</v>
      </c>
      <c r="E309" s="40" t="n">
        <v>172.39</v>
      </c>
      <c r="F309" s="40" t="n">
        <v>22.89</v>
      </c>
      <c r="G309" s="40" t="n">
        <v>17.5</v>
      </c>
      <c r="H309" s="40" t="n">
        <v>20.57</v>
      </c>
      <c r="I309" s="41" t="n">
        <v>301</v>
      </c>
      <c r="J309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309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309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309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309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309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309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309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309" s="43">
        <f>(Dashboard!$C$13*tblHistory[[#This Row],[NDX S]]+Dashboard!$C$14*tblHistory[[#This Row],[SOX S]]+Dashboard!$C$15*tblHistory[[#This Row],[AIQ S]])/SUM(Dashboard!$C$13:$C$15)*100</f>
        <v/>
      </c>
      <c r="S309" s="43">
        <f>(Dashboard!$C$16*tblHistory[[#This Row],[ORCL S]]+Dashboard!$C$17*tblHistory[[#This Row],[CRWV S]])/SUM(Dashboard!$C$16:$C$17)*100</f>
        <v/>
      </c>
      <c r="T309" s="43">
        <f>(Dashboard!$C$18*tblHistory[[#This Row],[BIZD S]]+Dashboard!$C$19*tblHistory[[#This Row],[BKLN S]]+Dashboard!$C$20*tblHistory[[#This Row],[HY S]])/SUM(Dashboard!$C$18:$C$20)*100</f>
        <v/>
      </c>
      <c r="U309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309" s="43">
        <f>IFERROR(--(tblHistory[[#This Row],[Score]]&gt;=50),0)</f>
        <v/>
      </c>
      <c r="W309" s="43">
        <f>IFERROR(--AND(tblHistory[[#This Row],[Score]]&gt;=60,tblHistory[[#This Row],[BIZD S]]&gt;=0.8,tblHistory[[#This Row],[BKLN S]]&gt;=0.5),0)</f>
        <v/>
      </c>
      <c r="X309" s="43">
        <f>IFERROR(--AND(tblHistory[[#This Row],[Score]]&gt;=70,tblHistory[[#This Row],[SOX S]]&gt;=0.83,tblHistory[[#This Row],[AIQ S]]&gt;=0.8),0)</f>
        <v/>
      </c>
      <c r="Y309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309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309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309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309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310">
      <c r="A310" s="39" t="n">
        <v>45882</v>
      </c>
      <c r="B310" s="40" t="n">
        <v>24916.13</v>
      </c>
      <c r="C310" s="40" t="n">
        <v>8682.43</v>
      </c>
      <c r="D310" s="40" t="n">
        <v>45.31</v>
      </c>
      <c r="E310" s="40" t="n">
        <v>172</v>
      </c>
      <c r="F310" s="40" t="n">
        <v>21.41</v>
      </c>
      <c r="G310" s="40" t="n">
        <v>17.43</v>
      </c>
      <c r="H310" s="40" t="n">
        <v>20.54</v>
      </c>
      <c r="I310" s="41" t="n">
        <v>299</v>
      </c>
      <c r="J310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310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310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310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310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310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310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310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310" s="43">
        <f>(Dashboard!$C$13*tblHistory[[#This Row],[NDX S]]+Dashboard!$C$14*tblHistory[[#This Row],[SOX S]]+Dashboard!$C$15*tblHistory[[#This Row],[AIQ S]])/SUM(Dashboard!$C$13:$C$15)*100</f>
        <v/>
      </c>
      <c r="S310" s="43">
        <f>(Dashboard!$C$16*tblHistory[[#This Row],[ORCL S]]+Dashboard!$C$17*tblHistory[[#This Row],[CRWV S]])/SUM(Dashboard!$C$16:$C$17)*100</f>
        <v/>
      </c>
      <c r="T310" s="43">
        <f>(Dashboard!$C$18*tblHistory[[#This Row],[BIZD S]]+Dashboard!$C$19*tblHistory[[#This Row],[BKLN S]]+Dashboard!$C$20*tblHistory[[#This Row],[HY S]])/SUM(Dashboard!$C$18:$C$20)*100</f>
        <v/>
      </c>
      <c r="U310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310" s="43">
        <f>IFERROR(--(tblHistory[[#This Row],[Score]]&gt;=50),0)</f>
        <v/>
      </c>
      <c r="W310" s="43">
        <f>IFERROR(--AND(tblHistory[[#This Row],[Score]]&gt;=60,tblHistory[[#This Row],[BIZD S]]&gt;=0.8,tblHistory[[#This Row],[BKLN S]]&gt;=0.5),0)</f>
        <v/>
      </c>
      <c r="X310" s="43">
        <f>IFERROR(--AND(tblHistory[[#This Row],[Score]]&gt;=70,tblHistory[[#This Row],[SOX S]]&gt;=0.83,tblHistory[[#This Row],[AIQ S]]&gt;=0.8),0)</f>
        <v/>
      </c>
      <c r="Y310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310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310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310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310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311">
      <c r="A311" s="39" t="n">
        <v>45881</v>
      </c>
      <c r="B311" s="40" t="n">
        <v>24782.07</v>
      </c>
      <c r="C311" s="40" t="n">
        <v>8718.42</v>
      </c>
      <c r="D311" s="40" t="n">
        <v>45.62</v>
      </c>
      <c r="E311" s="40" t="n">
        <v>171.21</v>
      </c>
      <c r="F311" s="40" t="n">
        <v>21.51</v>
      </c>
      <c r="G311" s="40" t="n">
        <v>17.35</v>
      </c>
      <c r="H311" s="40" t="n">
        <v>20.58</v>
      </c>
      <c r="I311" s="41" t="n">
        <v>307</v>
      </c>
      <c r="J311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311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311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311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311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311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311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311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311" s="43">
        <f>(Dashboard!$C$13*tblHistory[[#This Row],[NDX S]]+Dashboard!$C$14*tblHistory[[#This Row],[SOX S]]+Dashboard!$C$15*tblHistory[[#This Row],[AIQ S]])/SUM(Dashboard!$C$13:$C$15)*100</f>
        <v/>
      </c>
      <c r="S311" s="43">
        <f>(Dashboard!$C$16*tblHistory[[#This Row],[ORCL S]]+Dashboard!$C$17*tblHistory[[#This Row],[CRWV S]])/SUM(Dashboard!$C$16:$C$17)*100</f>
        <v/>
      </c>
      <c r="T311" s="43">
        <f>(Dashboard!$C$18*tblHistory[[#This Row],[BIZD S]]+Dashboard!$C$19*tblHistory[[#This Row],[BKLN S]]+Dashboard!$C$20*tblHistory[[#This Row],[HY S]])/SUM(Dashboard!$C$18:$C$20)*100</f>
        <v/>
      </c>
      <c r="U311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311" s="43">
        <f>IFERROR(--(tblHistory[[#This Row],[Score]]&gt;=50),0)</f>
        <v/>
      </c>
      <c r="W311" s="43">
        <f>IFERROR(--AND(tblHistory[[#This Row],[Score]]&gt;=60,tblHistory[[#This Row],[BIZD S]]&gt;=0.8,tblHistory[[#This Row],[BKLN S]]&gt;=0.5),0)</f>
        <v/>
      </c>
      <c r="X311" s="43">
        <f>IFERROR(--AND(tblHistory[[#This Row],[Score]]&gt;=70,tblHistory[[#This Row],[SOX S]]&gt;=0.83,tblHistory[[#This Row],[AIQ S]]&gt;=0.8),0)</f>
        <v/>
      </c>
      <c r="Y311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311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311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311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311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312">
      <c r="A312" s="39" t="n">
        <v>45880</v>
      </c>
      <c r="B312" s="40" t="n">
        <v>24947.02</v>
      </c>
      <c r="C312" s="40" t="n">
        <v>8713.299999999999</v>
      </c>
      <c r="D312" s="40" t="n">
        <v>45.09</v>
      </c>
      <c r="E312" s="40" t="n">
        <v>169.28</v>
      </c>
      <c r="F312" s="40" t="n">
        <v>21.45</v>
      </c>
      <c r="G312" s="40" t="n">
        <v>17.42</v>
      </c>
      <c r="H312" s="40" t="n">
        <v>20.67</v>
      </c>
      <c r="I312" s="41" t="n">
        <v>298</v>
      </c>
      <c r="J312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312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312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312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312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312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312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312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312" s="43">
        <f>(Dashboard!$C$13*tblHistory[[#This Row],[NDX S]]+Dashboard!$C$14*tblHistory[[#This Row],[SOX S]]+Dashboard!$C$15*tblHistory[[#This Row],[AIQ S]])/SUM(Dashboard!$C$13:$C$15)*100</f>
        <v/>
      </c>
      <c r="S312" s="43">
        <f>(Dashboard!$C$16*tblHistory[[#This Row],[ORCL S]]+Dashboard!$C$17*tblHistory[[#This Row],[CRWV S]])/SUM(Dashboard!$C$16:$C$17)*100</f>
        <v/>
      </c>
      <c r="T312" s="43">
        <f>(Dashboard!$C$18*tblHistory[[#This Row],[BIZD S]]+Dashboard!$C$19*tblHistory[[#This Row],[BKLN S]]+Dashboard!$C$20*tblHistory[[#This Row],[HY S]])/SUM(Dashboard!$C$18:$C$20)*100</f>
        <v/>
      </c>
      <c r="U312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312" s="43">
        <f>IFERROR(--(tblHistory[[#This Row],[Score]]&gt;=50),0)</f>
        <v/>
      </c>
      <c r="W312" s="43">
        <f>IFERROR(--AND(tblHistory[[#This Row],[Score]]&gt;=60,tblHistory[[#This Row],[BIZD S]]&gt;=0.8,tblHistory[[#This Row],[BKLN S]]&gt;=0.5),0)</f>
        <v/>
      </c>
      <c r="X312" s="43">
        <f>IFERROR(--AND(tblHistory[[#This Row],[Score]]&gt;=70,tblHistory[[#This Row],[SOX S]]&gt;=0.83,tblHistory[[#This Row],[AIQ S]]&gt;=0.8),0)</f>
        <v/>
      </c>
      <c r="Y312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312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312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312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312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313">
      <c r="A313" s="39" t="n">
        <v>45877</v>
      </c>
      <c r="B313" s="40" t="n">
        <v>24960.87</v>
      </c>
      <c r="C313" s="40" t="n">
        <v>8358.02</v>
      </c>
      <c r="D313" s="40" t="n">
        <v>44.17</v>
      </c>
      <c r="E313" s="40" t="n">
        <v>177.17</v>
      </c>
      <c r="F313" s="40" t="n">
        <v>22.67</v>
      </c>
      <c r="G313" s="40" t="n">
        <v>17.54</v>
      </c>
      <c r="H313" s="40" t="n">
        <v>20.65</v>
      </c>
      <c r="I313" s="41" t="n">
        <v>301</v>
      </c>
      <c r="J313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313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313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313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313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313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313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313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313" s="43">
        <f>(Dashboard!$C$13*tblHistory[[#This Row],[NDX S]]+Dashboard!$C$14*tblHistory[[#This Row],[SOX S]]+Dashboard!$C$15*tblHistory[[#This Row],[AIQ S]])/SUM(Dashboard!$C$13:$C$15)*100</f>
        <v/>
      </c>
      <c r="S313" s="43">
        <f>(Dashboard!$C$16*tblHistory[[#This Row],[ORCL S]]+Dashboard!$C$17*tblHistory[[#This Row],[CRWV S]])/SUM(Dashboard!$C$16:$C$17)*100</f>
        <v/>
      </c>
      <c r="T313" s="43">
        <f>(Dashboard!$C$18*tblHistory[[#This Row],[BIZD S]]+Dashboard!$C$19*tblHistory[[#This Row],[BKLN S]]+Dashboard!$C$20*tblHistory[[#This Row],[HY S]])/SUM(Dashboard!$C$18:$C$20)*100</f>
        <v/>
      </c>
      <c r="U313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313" s="43">
        <f>IFERROR(--(tblHistory[[#This Row],[Score]]&gt;=50),0)</f>
        <v/>
      </c>
      <c r="W313" s="43">
        <f>IFERROR(--AND(tblHistory[[#This Row],[Score]]&gt;=60,tblHistory[[#This Row],[BIZD S]]&gt;=0.8,tblHistory[[#This Row],[BKLN S]]&gt;=0.5),0)</f>
        <v/>
      </c>
      <c r="X313" s="43">
        <f>IFERROR(--AND(tblHistory[[#This Row],[Score]]&gt;=70,tblHistory[[#This Row],[SOX S]]&gt;=0.83,tblHistory[[#This Row],[AIQ S]]&gt;=0.8),0)</f>
        <v/>
      </c>
      <c r="Y313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313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313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313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313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314">
      <c r="A314" s="39" t="n">
        <v>45876</v>
      </c>
      <c r="B314" s="40" t="n">
        <v>24528.36</v>
      </c>
      <c r="C314" s="40" t="n">
        <v>8206.83</v>
      </c>
      <c r="D314" s="40" t="n">
        <v>43.62</v>
      </c>
      <c r="E314" s="40" t="n">
        <v>183.36</v>
      </c>
      <c r="F314" s="40" t="n">
        <v>23.22</v>
      </c>
      <c r="G314" s="40" t="n">
        <v>17.66</v>
      </c>
      <c r="H314" s="40" t="n">
        <v>20.64</v>
      </c>
      <c r="I314" s="41" t="n">
        <v>295</v>
      </c>
      <c r="J314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314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314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314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314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314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314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314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314" s="43">
        <f>(Dashboard!$C$13*tblHistory[[#This Row],[NDX S]]+Dashboard!$C$14*tblHistory[[#This Row],[SOX S]]+Dashboard!$C$15*tblHistory[[#This Row],[AIQ S]])/SUM(Dashboard!$C$13:$C$15)*100</f>
        <v/>
      </c>
      <c r="S314" s="43">
        <f>(Dashboard!$C$16*tblHistory[[#This Row],[ORCL S]]+Dashboard!$C$17*tblHistory[[#This Row],[CRWV S]])/SUM(Dashboard!$C$16:$C$17)*100</f>
        <v/>
      </c>
      <c r="T314" s="43">
        <f>(Dashboard!$C$18*tblHistory[[#This Row],[BIZD S]]+Dashboard!$C$19*tblHistory[[#This Row],[BKLN S]]+Dashboard!$C$20*tblHistory[[#This Row],[HY S]])/SUM(Dashboard!$C$18:$C$20)*100</f>
        <v/>
      </c>
      <c r="U314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314" s="43">
        <f>IFERROR(--(tblHistory[[#This Row],[Score]]&gt;=50),0)</f>
        <v/>
      </c>
      <c r="W314" s="43">
        <f>IFERROR(--AND(tblHistory[[#This Row],[Score]]&gt;=60,tblHistory[[#This Row],[BIZD S]]&gt;=0.8,tblHistory[[#This Row],[BKLN S]]&gt;=0.5),0)</f>
        <v/>
      </c>
      <c r="X314" s="43">
        <f>IFERROR(--AND(tblHistory[[#This Row],[Score]]&gt;=70,tblHistory[[#This Row],[SOX S]]&gt;=0.83,tblHistory[[#This Row],[AIQ S]]&gt;=0.8),0)</f>
        <v/>
      </c>
      <c r="Y314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314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314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314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314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315">
      <c r="A315" s="39" t="n">
        <v>45875</v>
      </c>
      <c r="B315" s="40" t="n">
        <v>25100.64</v>
      </c>
      <c r="C315" s="40" t="n">
        <v>8259.32</v>
      </c>
      <c r="D315" s="40" t="n">
        <v>42.98</v>
      </c>
      <c r="E315" s="40" t="n">
        <v>188.91</v>
      </c>
      <c r="F315" s="40" t="n">
        <v>23.51</v>
      </c>
      <c r="G315" s="40" t="n">
        <v>17.81</v>
      </c>
      <c r="H315" s="40" t="n">
        <v>20.62</v>
      </c>
      <c r="I315" s="41" t="n">
        <v>294</v>
      </c>
      <c r="J315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315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315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315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315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315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315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315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315" s="43">
        <f>(Dashboard!$C$13*tblHistory[[#This Row],[NDX S]]+Dashboard!$C$14*tblHistory[[#This Row],[SOX S]]+Dashboard!$C$15*tblHistory[[#This Row],[AIQ S]])/SUM(Dashboard!$C$13:$C$15)*100</f>
        <v/>
      </c>
      <c r="S315" s="43">
        <f>(Dashboard!$C$16*tblHistory[[#This Row],[ORCL S]]+Dashboard!$C$17*tblHistory[[#This Row],[CRWV S]])/SUM(Dashboard!$C$16:$C$17)*100</f>
        <v/>
      </c>
      <c r="T315" s="43">
        <f>(Dashboard!$C$18*tblHistory[[#This Row],[BIZD S]]+Dashboard!$C$19*tblHistory[[#This Row],[BKLN S]]+Dashboard!$C$20*tblHistory[[#This Row],[HY S]])/SUM(Dashboard!$C$18:$C$20)*100</f>
        <v/>
      </c>
      <c r="U315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315" s="43">
        <f>IFERROR(--(tblHistory[[#This Row],[Score]]&gt;=50),0)</f>
        <v/>
      </c>
      <c r="W315" s="43">
        <f>IFERROR(--AND(tblHistory[[#This Row],[Score]]&gt;=60,tblHistory[[#This Row],[BIZD S]]&gt;=0.8,tblHistory[[#This Row],[BKLN S]]&gt;=0.5),0)</f>
        <v/>
      </c>
      <c r="X315" s="43">
        <f>IFERROR(--AND(tblHistory[[#This Row],[Score]]&gt;=70,tblHistory[[#This Row],[SOX S]]&gt;=0.83,tblHistory[[#This Row],[AIQ S]]&gt;=0.8),0)</f>
        <v/>
      </c>
      <c r="Y315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315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315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315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315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316">
      <c r="A316" s="39" t="n">
        <v>45874</v>
      </c>
      <c r="B316" s="40" t="n">
        <v>25139.18</v>
      </c>
      <c r="C316" s="40" t="n">
        <v>8127.11</v>
      </c>
      <c r="D316" s="40" t="n">
        <v>43.58</v>
      </c>
      <c r="E316" s="40" t="n">
        <v>187.42</v>
      </c>
      <c r="F316" s="40" t="n">
        <v>24.67</v>
      </c>
      <c r="G316" s="40" t="n">
        <v>17.66</v>
      </c>
      <c r="H316" s="40" t="n">
        <v>20.64</v>
      </c>
      <c r="I316" s="41" t="n">
        <v>294</v>
      </c>
      <c r="J316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316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316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316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316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316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316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316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316" s="43">
        <f>(Dashboard!$C$13*tblHistory[[#This Row],[NDX S]]+Dashboard!$C$14*tblHistory[[#This Row],[SOX S]]+Dashboard!$C$15*tblHistory[[#This Row],[AIQ S]])/SUM(Dashboard!$C$13:$C$15)*100</f>
        <v/>
      </c>
      <c r="S316" s="43">
        <f>(Dashboard!$C$16*tblHistory[[#This Row],[ORCL S]]+Dashboard!$C$17*tblHistory[[#This Row],[CRWV S]])/SUM(Dashboard!$C$16:$C$17)*100</f>
        <v/>
      </c>
      <c r="T316" s="43">
        <f>(Dashboard!$C$18*tblHistory[[#This Row],[BIZD S]]+Dashboard!$C$19*tblHistory[[#This Row],[BKLN S]]+Dashboard!$C$20*tblHistory[[#This Row],[HY S]])/SUM(Dashboard!$C$18:$C$20)*100</f>
        <v/>
      </c>
      <c r="U316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316" s="43">
        <f>IFERROR(--(tblHistory[[#This Row],[Score]]&gt;=50),0)</f>
        <v/>
      </c>
      <c r="W316" s="43">
        <f>IFERROR(--AND(tblHistory[[#This Row],[Score]]&gt;=60,tblHistory[[#This Row],[BIZD S]]&gt;=0.8,tblHistory[[#This Row],[BKLN S]]&gt;=0.5),0)</f>
        <v/>
      </c>
      <c r="X316" s="43">
        <f>IFERROR(--AND(tblHistory[[#This Row],[Score]]&gt;=70,tblHistory[[#This Row],[SOX S]]&gt;=0.83,tblHistory[[#This Row],[AIQ S]]&gt;=0.8),0)</f>
        <v/>
      </c>
      <c r="Y316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316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316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316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316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317">
      <c r="A317" s="39" t="n">
        <v>45873</v>
      </c>
      <c r="B317" s="40" t="n">
        <v>24827.98</v>
      </c>
      <c r="C317" s="40" t="n">
        <v>8670.75</v>
      </c>
      <c r="D317" s="40" t="n">
        <v>43.76</v>
      </c>
      <c r="E317" s="40" t="n">
        <v>188.27</v>
      </c>
      <c r="F317" s="40" t="n">
        <v>23.83</v>
      </c>
      <c r="G317" s="40" t="n">
        <v>17.74</v>
      </c>
      <c r="H317" s="40" t="n">
        <v>20.61</v>
      </c>
      <c r="I317" s="41" t="n">
        <v>293</v>
      </c>
      <c r="J317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317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317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317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317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317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317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317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317" s="43">
        <f>(Dashboard!$C$13*tblHistory[[#This Row],[NDX S]]+Dashboard!$C$14*tblHistory[[#This Row],[SOX S]]+Dashboard!$C$15*tblHistory[[#This Row],[AIQ S]])/SUM(Dashboard!$C$13:$C$15)*100</f>
        <v/>
      </c>
      <c r="S317" s="43">
        <f>(Dashboard!$C$16*tblHistory[[#This Row],[ORCL S]]+Dashboard!$C$17*tblHistory[[#This Row],[CRWV S]])/SUM(Dashboard!$C$16:$C$17)*100</f>
        <v/>
      </c>
      <c r="T317" s="43">
        <f>(Dashboard!$C$18*tblHistory[[#This Row],[BIZD S]]+Dashboard!$C$19*tblHistory[[#This Row],[BKLN S]]+Dashboard!$C$20*tblHistory[[#This Row],[HY S]])/SUM(Dashboard!$C$18:$C$20)*100</f>
        <v/>
      </c>
      <c r="U317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317" s="43">
        <f>IFERROR(--(tblHistory[[#This Row],[Score]]&gt;=50),0)</f>
        <v/>
      </c>
      <c r="W317" s="43">
        <f>IFERROR(--AND(tblHistory[[#This Row],[Score]]&gt;=60,tblHistory[[#This Row],[BIZD S]]&gt;=0.8,tblHistory[[#This Row],[BKLN S]]&gt;=0.5),0)</f>
        <v/>
      </c>
      <c r="X317" s="43">
        <f>IFERROR(--AND(tblHistory[[#This Row],[Score]]&gt;=70,tblHistory[[#This Row],[SOX S]]&gt;=0.83,tblHistory[[#This Row],[AIQ S]]&gt;=0.8),0)</f>
        <v/>
      </c>
      <c r="Y317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317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317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317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317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318">
      <c r="A318" s="39" t="n">
        <v>45870</v>
      </c>
      <c r="B318" s="40" t="n">
        <v>24352.81</v>
      </c>
      <c r="C318" s="40" t="n">
        <v>8726.700000000001</v>
      </c>
      <c r="D318" s="40" t="n">
        <v>43.35</v>
      </c>
      <c r="E318" s="40" t="n">
        <v>187.51</v>
      </c>
      <c r="F318" s="40" t="n">
        <v>23.76</v>
      </c>
      <c r="G318" s="40" t="n">
        <v>17.93</v>
      </c>
      <c r="H318" s="40" t="n">
        <v>20.63</v>
      </c>
      <c r="I318" s="41" t="n">
        <v>280</v>
      </c>
      <c r="J318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318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318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318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318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318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318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318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318" s="43">
        <f>(Dashboard!$C$13*tblHistory[[#This Row],[NDX S]]+Dashboard!$C$14*tblHistory[[#This Row],[SOX S]]+Dashboard!$C$15*tblHistory[[#This Row],[AIQ S]])/SUM(Dashboard!$C$13:$C$15)*100</f>
        <v/>
      </c>
      <c r="S318" s="43">
        <f>(Dashboard!$C$16*tblHistory[[#This Row],[ORCL S]]+Dashboard!$C$17*tblHistory[[#This Row],[CRWV S]])/SUM(Dashboard!$C$16:$C$17)*100</f>
        <v/>
      </c>
      <c r="T318" s="43">
        <f>(Dashboard!$C$18*tblHistory[[#This Row],[BIZD S]]+Dashboard!$C$19*tblHistory[[#This Row],[BKLN S]]+Dashboard!$C$20*tblHistory[[#This Row],[HY S]])/SUM(Dashboard!$C$18:$C$20)*100</f>
        <v/>
      </c>
      <c r="U318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318" s="43">
        <f>IFERROR(--(tblHistory[[#This Row],[Score]]&gt;=50),0)</f>
        <v/>
      </c>
      <c r="W318" s="43">
        <f>IFERROR(--AND(tblHistory[[#This Row],[Score]]&gt;=60,tblHistory[[#This Row],[BIZD S]]&gt;=0.8,tblHistory[[#This Row],[BKLN S]]&gt;=0.5),0)</f>
        <v/>
      </c>
      <c r="X318" s="43">
        <f>IFERROR(--AND(tblHistory[[#This Row],[Score]]&gt;=70,tblHistory[[#This Row],[SOX S]]&gt;=0.83,tblHistory[[#This Row],[AIQ S]]&gt;=0.8),0)</f>
        <v/>
      </c>
      <c r="Y318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318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318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318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318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319">
      <c r="A319" s="39" t="n">
        <v>45869</v>
      </c>
      <c r="B319" s="40" t="n">
        <v>24599.59</v>
      </c>
      <c r="C319" s="40" t="n">
        <v>8928.200000000001</v>
      </c>
      <c r="D319" s="40" t="n">
        <v>43.41</v>
      </c>
      <c r="E319" s="40" t="n">
        <v>192.08</v>
      </c>
      <c r="F319" s="40" t="n">
        <v>22.82</v>
      </c>
      <c r="G319" s="40" t="n">
        <v>17.93</v>
      </c>
      <c r="H319" s="40" t="n">
        <v>20.62</v>
      </c>
      <c r="I319" s="41" t="n">
        <v>290</v>
      </c>
      <c r="J319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319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319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319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319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319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319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319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319" s="43">
        <f>(Dashboard!$C$13*tblHistory[[#This Row],[NDX S]]+Dashboard!$C$14*tblHistory[[#This Row],[SOX S]]+Dashboard!$C$15*tblHistory[[#This Row],[AIQ S]])/SUM(Dashboard!$C$13:$C$15)*100</f>
        <v/>
      </c>
      <c r="S319" s="43">
        <f>(Dashboard!$C$16*tblHistory[[#This Row],[ORCL S]]+Dashboard!$C$17*tblHistory[[#This Row],[CRWV S]])/SUM(Dashboard!$C$16:$C$17)*100</f>
        <v/>
      </c>
      <c r="T319" s="43">
        <f>(Dashboard!$C$18*tblHistory[[#This Row],[BIZD S]]+Dashboard!$C$19*tblHistory[[#This Row],[BKLN S]]+Dashboard!$C$20*tblHistory[[#This Row],[HY S]])/SUM(Dashboard!$C$18:$C$20)*100</f>
        <v/>
      </c>
      <c r="U319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319" s="43">
        <f>IFERROR(--(tblHistory[[#This Row],[Score]]&gt;=50),0)</f>
        <v/>
      </c>
      <c r="W319" s="43">
        <f>IFERROR(--AND(tblHistory[[#This Row],[Score]]&gt;=60,tblHistory[[#This Row],[BIZD S]]&gt;=0.8,tblHistory[[#This Row],[BKLN S]]&gt;=0.5),0)</f>
        <v/>
      </c>
      <c r="X319" s="43">
        <f>IFERROR(--AND(tblHistory[[#This Row],[Score]]&gt;=70,tblHistory[[#This Row],[SOX S]]&gt;=0.83,tblHistory[[#This Row],[AIQ S]]&gt;=0.8),0)</f>
        <v/>
      </c>
      <c r="Y319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319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319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319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319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320">
      <c r="A320" s="39" t="n">
        <v>45868</v>
      </c>
      <c r="B320" s="40" t="n">
        <v>24120.37</v>
      </c>
      <c r="C320" s="40" t="n">
        <v>8644.34</v>
      </c>
      <c r="D320" s="40" t="n">
        <v>42.05</v>
      </c>
      <c r="E320" s="40" t="n">
        <v>185.23</v>
      </c>
      <c r="F320" s="40" t="n">
        <v>21.35</v>
      </c>
      <c r="G320" s="40" t="n">
        <v>17.9</v>
      </c>
      <c r="H320" s="40" t="n">
        <v>20.59</v>
      </c>
      <c r="I320" s="41" t="n">
        <v>298</v>
      </c>
      <c r="J320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320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320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320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320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320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320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320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320" s="43">
        <f>(Dashboard!$C$13*tblHistory[[#This Row],[NDX S]]+Dashboard!$C$14*tblHistory[[#This Row],[SOX S]]+Dashboard!$C$15*tblHistory[[#This Row],[AIQ S]])/SUM(Dashboard!$C$13:$C$15)*100</f>
        <v/>
      </c>
      <c r="S320" s="43">
        <f>(Dashboard!$C$16*tblHistory[[#This Row],[ORCL S]]+Dashboard!$C$17*tblHistory[[#This Row],[CRWV S]])/SUM(Dashboard!$C$16:$C$17)*100</f>
        <v/>
      </c>
      <c r="T320" s="43">
        <f>(Dashboard!$C$18*tblHistory[[#This Row],[BIZD S]]+Dashboard!$C$19*tblHistory[[#This Row],[BKLN S]]+Dashboard!$C$20*tblHistory[[#This Row],[HY S]])/SUM(Dashboard!$C$18:$C$20)*100</f>
        <v/>
      </c>
      <c r="U320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320" s="43">
        <f>IFERROR(--(tblHistory[[#This Row],[Score]]&gt;=50),0)</f>
        <v/>
      </c>
      <c r="W320" s="43">
        <f>IFERROR(--AND(tblHistory[[#This Row],[Score]]&gt;=60,tblHistory[[#This Row],[BIZD S]]&gt;=0.8,tblHistory[[#This Row],[BKLN S]]&gt;=0.5),0)</f>
        <v/>
      </c>
      <c r="X320" s="43">
        <f>IFERROR(--AND(tblHistory[[#This Row],[Score]]&gt;=70,tblHistory[[#This Row],[SOX S]]&gt;=0.83,tblHistory[[#This Row],[AIQ S]]&gt;=0.8),0)</f>
        <v/>
      </c>
      <c r="Y320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320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320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320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320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321">
      <c r="A321" s="39" t="n">
        <v>45867</v>
      </c>
      <c r="B321" s="40" t="n">
        <v>23885.33</v>
      </c>
      <c r="C321" s="40" t="n">
        <v>8577.969999999999</v>
      </c>
      <c r="D321" s="40" t="n">
        <v>42.12</v>
      </c>
      <c r="E321" s="40" t="n">
        <v>181.67</v>
      </c>
      <c r="F321" s="40" t="n">
        <v>21.82</v>
      </c>
      <c r="G321" s="40" t="n">
        <v>17.95</v>
      </c>
      <c r="H321" s="40" t="n">
        <v>20.6</v>
      </c>
      <c r="I321" s="41" t="n">
        <v>294</v>
      </c>
      <c r="J321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321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321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321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321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321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321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321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321" s="43">
        <f>(Dashboard!$C$13*tblHistory[[#This Row],[NDX S]]+Dashboard!$C$14*tblHistory[[#This Row],[SOX S]]+Dashboard!$C$15*tblHistory[[#This Row],[AIQ S]])/SUM(Dashboard!$C$13:$C$15)*100</f>
        <v/>
      </c>
      <c r="S321" s="43">
        <f>(Dashboard!$C$16*tblHistory[[#This Row],[ORCL S]]+Dashboard!$C$17*tblHistory[[#This Row],[CRWV S]])/SUM(Dashboard!$C$16:$C$17)*100</f>
        <v/>
      </c>
      <c r="T321" s="43">
        <f>(Dashboard!$C$18*tblHistory[[#This Row],[BIZD S]]+Dashboard!$C$19*tblHistory[[#This Row],[BKLN S]]+Dashboard!$C$20*tblHistory[[#This Row],[HY S]])/SUM(Dashboard!$C$18:$C$20)*100</f>
        <v/>
      </c>
      <c r="U321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321" s="43">
        <f>IFERROR(--(tblHistory[[#This Row],[Score]]&gt;=50),0)</f>
        <v/>
      </c>
      <c r="W321" s="43">
        <f>IFERROR(--AND(tblHistory[[#This Row],[Score]]&gt;=60,tblHistory[[#This Row],[BIZD S]]&gt;=0.8,tblHistory[[#This Row],[BKLN S]]&gt;=0.5),0)</f>
        <v/>
      </c>
      <c r="X321" s="43">
        <f>IFERROR(--AND(tblHistory[[#This Row],[Score]]&gt;=70,tblHistory[[#This Row],[SOX S]]&gt;=0.83,tblHistory[[#This Row],[AIQ S]]&gt;=0.8),0)</f>
        <v/>
      </c>
      <c r="Y321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321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321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321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321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322">
      <c r="A322" s="39" t="n">
        <v>45866</v>
      </c>
      <c r="B322" s="40" t="n">
        <v>24199.89</v>
      </c>
      <c r="C322" s="40" t="n">
        <v>8421.950000000001</v>
      </c>
      <c r="D322" s="40" t="n">
        <v>41.25</v>
      </c>
      <c r="E322" s="40" t="n">
        <v>181.65</v>
      </c>
      <c r="F322" s="40" t="n">
        <v>20.89</v>
      </c>
      <c r="G322" s="40" t="n">
        <v>18.26</v>
      </c>
      <c r="H322" s="40" t="n">
        <v>20.65</v>
      </c>
      <c r="I322" s="41" t="n">
        <v>295</v>
      </c>
      <c r="J322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322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322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322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322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322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322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322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322" s="43">
        <f>(Dashboard!$C$13*tblHistory[[#This Row],[NDX S]]+Dashboard!$C$14*tblHistory[[#This Row],[SOX S]]+Dashboard!$C$15*tblHistory[[#This Row],[AIQ S]])/SUM(Dashboard!$C$13:$C$15)*100</f>
        <v/>
      </c>
      <c r="S322" s="43">
        <f>(Dashboard!$C$16*tblHistory[[#This Row],[ORCL S]]+Dashboard!$C$17*tblHistory[[#This Row],[CRWV S]])/SUM(Dashboard!$C$16:$C$17)*100</f>
        <v/>
      </c>
      <c r="T322" s="43">
        <f>(Dashboard!$C$18*tblHistory[[#This Row],[BIZD S]]+Dashboard!$C$19*tblHistory[[#This Row],[BKLN S]]+Dashboard!$C$20*tblHistory[[#This Row],[HY S]])/SUM(Dashboard!$C$18:$C$20)*100</f>
        <v/>
      </c>
      <c r="U322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322" s="43">
        <f>IFERROR(--(tblHistory[[#This Row],[Score]]&gt;=50),0)</f>
        <v/>
      </c>
      <c r="W322" s="43">
        <f>IFERROR(--AND(tblHistory[[#This Row],[Score]]&gt;=60,tblHistory[[#This Row],[BIZD S]]&gt;=0.8,tblHistory[[#This Row],[BKLN S]]&gt;=0.5),0)</f>
        <v/>
      </c>
      <c r="X322" s="43">
        <f>IFERROR(--AND(tblHistory[[#This Row],[Score]]&gt;=70,tblHistory[[#This Row],[SOX S]]&gt;=0.83,tblHistory[[#This Row],[AIQ S]]&gt;=0.8),0)</f>
        <v/>
      </c>
      <c r="Y322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322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322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322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322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323">
      <c r="A323" s="39" t="n">
        <v>45863</v>
      </c>
      <c r="B323" s="40" t="n">
        <v>24185.08</v>
      </c>
      <c r="C323" s="40" t="n">
        <v>8375.559999999999</v>
      </c>
      <c r="D323" s="40" t="n">
        <v>41.81</v>
      </c>
      <c r="E323" s="40" t="n">
        <v>180.5</v>
      </c>
      <c r="F323" s="40" t="n">
        <v>22.3</v>
      </c>
      <c r="G323" s="40" t="n">
        <v>18.1</v>
      </c>
      <c r="H323" s="40" t="n">
        <v>20.67</v>
      </c>
      <c r="I323" s="41" t="n">
        <v>299</v>
      </c>
      <c r="J323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323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323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323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323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323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323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323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323" s="43">
        <f>(Dashboard!$C$13*tblHistory[[#This Row],[NDX S]]+Dashboard!$C$14*tblHistory[[#This Row],[SOX S]]+Dashboard!$C$15*tblHistory[[#This Row],[AIQ S]])/SUM(Dashboard!$C$13:$C$15)*100</f>
        <v/>
      </c>
      <c r="S323" s="43">
        <f>(Dashboard!$C$16*tblHistory[[#This Row],[ORCL S]]+Dashboard!$C$17*tblHistory[[#This Row],[CRWV S]])/SUM(Dashboard!$C$16:$C$17)*100</f>
        <v/>
      </c>
      <c r="T323" s="43">
        <f>(Dashboard!$C$18*tblHistory[[#This Row],[BIZD S]]+Dashboard!$C$19*tblHistory[[#This Row],[BKLN S]]+Dashboard!$C$20*tblHistory[[#This Row],[HY S]])/SUM(Dashboard!$C$18:$C$20)*100</f>
        <v/>
      </c>
      <c r="U323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323" s="43">
        <f>IFERROR(--(tblHistory[[#This Row],[Score]]&gt;=50),0)</f>
        <v/>
      </c>
      <c r="W323" s="43">
        <f>IFERROR(--AND(tblHistory[[#This Row],[Score]]&gt;=60,tblHistory[[#This Row],[BIZD S]]&gt;=0.8,tblHistory[[#This Row],[BKLN S]]&gt;=0.5),0)</f>
        <v/>
      </c>
      <c r="X323" s="43">
        <f>IFERROR(--AND(tblHistory[[#This Row],[Score]]&gt;=70,tblHistory[[#This Row],[SOX S]]&gt;=0.83,tblHistory[[#This Row],[AIQ S]]&gt;=0.8),0)</f>
        <v/>
      </c>
      <c r="Y323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323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323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323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323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324">
      <c r="A324" s="39" t="n">
        <v>45862</v>
      </c>
      <c r="B324" s="40" t="n">
        <v>24444.1</v>
      </c>
      <c r="C324" s="40" t="n">
        <v>8337.17</v>
      </c>
      <c r="D324" s="40" t="n">
        <v>41.21</v>
      </c>
      <c r="E324" s="40" t="n">
        <v>180.18</v>
      </c>
      <c r="F324" s="40" t="n">
        <v>22.48</v>
      </c>
      <c r="G324" s="40" t="n">
        <v>18.11</v>
      </c>
      <c r="H324" s="40" t="n">
        <v>20.71</v>
      </c>
      <c r="I324" s="41" t="n">
        <v>300</v>
      </c>
      <c r="J324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324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324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324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324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324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324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324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324" s="43">
        <f>(Dashboard!$C$13*tblHistory[[#This Row],[NDX S]]+Dashboard!$C$14*tblHistory[[#This Row],[SOX S]]+Dashboard!$C$15*tblHistory[[#This Row],[AIQ S]])/SUM(Dashboard!$C$13:$C$15)*100</f>
        <v/>
      </c>
      <c r="S324" s="43">
        <f>(Dashboard!$C$16*tblHistory[[#This Row],[ORCL S]]+Dashboard!$C$17*tblHistory[[#This Row],[CRWV S]])/SUM(Dashboard!$C$16:$C$17)*100</f>
        <v/>
      </c>
      <c r="T324" s="43">
        <f>(Dashboard!$C$18*tblHistory[[#This Row],[BIZD S]]+Dashboard!$C$19*tblHistory[[#This Row],[BKLN S]]+Dashboard!$C$20*tblHistory[[#This Row],[HY S]])/SUM(Dashboard!$C$18:$C$20)*100</f>
        <v/>
      </c>
      <c r="U324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324" s="43">
        <f>IFERROR(--(tblHistory[[#This Row],[Score]]&gt;=50),0)</f>
        <v/>
      </c>
      <c r="W324" s="43">
        <f>IFERROR(--AND(tblHistory[[#This Row],[Score]]&gt;=60,tblHistory[[#This Row],[BIZD S]]&gt;=0.8,tblHistory[[#This Row],[BKLN S]]&gt;=0.5),0)</f>
        <v/>
      </c>
      <c r="X324" s="43">
        <f>IFERROR(--AND(tblHistory[[#This Row],[Score]]&gt;=70,tblHistory[[#This Row],[SOX S]]&gt;=0.83,tblHistory[[#This Row],[AIQ S]]&gt;=0.8),0)</f>
        <v/>
      </c>
      <c r="Y324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324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324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324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324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325">
      <c r="A325" s="39" t="n">
        <v>45861</v>
      </c>
      <c r="B325" s="40" t="n">
        <v>24001.39</v>
      </c>
      <c r="C325" s="40" t="n">
        <v>7925.17</v>
      </c>
      <c r="D325" s="40" t="n">
        <v>40.94</v>
      </c>
      <c r="E325" s="40" t="n">
        <v>182.43</v>
      </c>
      <c r="F325" s="40" t="n">
        <v>22.63</v>
      </c>
      <c r="G325" s="40" t="n">
        <v>17.96</v>
      </c>
      <c r="H325" s="40" t="n">
        <v>20.7</v>
      </c>
      <c r="I325" s="41" t="n">
        <v>303</v>
      </c>
      <c r="J325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325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325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325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325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325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325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325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325" s="43">
        <f>(Dashboard!$C$13*tblHistory[[#This Row],[NDX S]]+Dashboard!$C$14*tblHistory[[#This Row],[SOX S]]+Dashboard!$C$15*tblHistory[[#This Row],[AIQ S]])/SUM(Dashboard!$C$13:$C$15)*100</f>
        <v/>
      </c>
      <c r="S325" s="43">
        <f>(Dashboard!$C$16*tblHistory[[#This Row],[ORCL S]]+Dashboard!$C$17*tblHistory[[#This Row],[CRWV S]])/SUM(Dashboard!$C$16:$C$17)*100</f>
        <v/>
      </c>
      <c r="T325" s="43">
        <f>(Dashboard!$C$18*tblHistory[[#This Row],[BIZD S]]+Dashboard!$C$19*tblHistory[[#This Row],[BKLN S]]+Dashboard!$C$20*tblHistory[[#This Row],[HY S]])/SUM(Dashboard!$C$18:$C$20)*100</f>
        <v/>
      </c>
      <c r="U325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325" s="43">
        <f>IFERROR(--(tblHistory[[#This Row],[Score]]&gt;=50),0)</f>
        <v/>
      </c>
      <c r="W325" s="43">
        <f>IFERROR(--AND(tblHistory[[#This Row],[Score]]&gt;=60,tblHistory[[#This Row],[BIZD S]]&gt;=0.8,tblHistory[[#This Row],[BKLN S]]&gt;=0.5),0)</f>
        <v/>
      </c>
      <c r="X325" s="43">
        <f>IFERROR(--AND(tblHistory[[#This Row],[Score]]&gt;=70,tblHistory[[#This Row],[SOX S]]&gt;=0.83,tblHistory[[#This Row],[AIQ S]]&gt;=0.8),0)</f>
        <v/>
      </c>
      <c r="Y325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325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325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325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325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326">
      <c r="A326" s="39" t="n">
        <v>45860</v>
      </c>
      <c r="B326" s="40" t="n">
        <v>23773.06</v>
      </c>
      <c r="C326" s="40" t="n">
        <v>7826.33</v>
      </c>
      <c r="D326" s="40" t="n">
        <v>40.86</v>
      </c>
      <c r="E326" s="40" t="n">
        <v>171.58</v>
      </c>
      <c r="F326" s="40" t="n">
        <v>20.14</v>
      </c>
      <c r="G326" s="40" t="n">
        <v>17.98</v>
      </c>
      <c r="H326" s="40" t="n">
        <v>20.72</v>
      </c>
      <c r="I326" s="41" t="n">
        <v>301</v>
      </c>
      <c r="J326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326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326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326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326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326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326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326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326" s="43">
        <f>(Dashboard!$C$13*tblHistory[[#This Row],[NDX S]]+Dashboard!$C$14*tblHistory[[#This Row],[SOX S]]+Dashboard!$C$15*tblHistory[[#This Row],[AIQ S]])/SUM(Dashboard!$C$13:$C$15)*100</f>
        <v/>
      </c>
      <c r="S326" s="43">
        <f>(Dashboard!$C$16*tblHistory[[#This Row],[ORCL S]]+Dashboard!$C$17*tblHistory[[#This Row],[CRWV S]])/SUM(Dashboard!$C$16:$C$17)*100</f>
        <v/>
      </c>
      <c r="T326" s="43">
        <f>(Dashboard!$C$18*tblHistory[[#This Row],[BIZD S]]+Dashboard!$C$19*tblHistory[[#This Row],[BKLN S]]+Dashboard!$C$20*tblHistory[[#This Row],[HY S]])/SUM(Dashboard!$C$18:$C$20)*100</f>
        <v/>
      </c>
      <c r="U326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326" s="43">
        <f>IFERROR(--(tblHistory[[#This Row],[Score]]&gt;=50),0)</f>
        <v/>
      </c>
      <c r="W326" s="43">
        <f>IFERROR(--AND(tblHistory[[#This Row],[Score]]&gt;=60,tblHistory[[#This Row],[BIZD S]]&gt;=0.8,tblHistory[[#This Row],[BKLN S]]&gt;=0.5),0)</f>
        <v/>
      </c>
      <c r="X326" s="43">
        <f>IFERROR(--AND(tblHistory[[#This Row],[Score]]&gt;=70,tblHistory[[#This Row],[SOX S]]&gt;=0.83,tblHistory[[#This Row],[AIQ S]]&gt;=0.8),0)</f>
        <v/>
      </c>
      <c r="Y326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326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326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326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326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327">
      <c r="A327" s="39" t="n">
        <v>45859</v>
      </c>
      <c r="B327" s="40" t="n">
        <v>23400.48</v>
      </c>
      <c r="C327" s="40" t="n">
        <v>7703.54</v>
      </c>
      <c r="D327" s="40" t="n">
        <v>41.79</v>
      </c>
      <c r="E327" s="40" t="n">
        <v>170.8</v>
      </c>
      <c r="F327" s="40" t="n">
        <v>21.92</v>
      </c>
      <c r="G327" s="40" t="n">
        <v>18.07</v>
      </c>
      <c r="H327" s="40" t="n">
        <v>20.68</v>
      </c>
      <c r="I327" s="41" t="n">
        <v>299</v>
      </c>
      <c r="J327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327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327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327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327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327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327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327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327" s="43">
        <f>(Dashboard!$C$13*tblHistory[[#This Row],[NDX S]]+Dashboard!$C$14*tblHistory[[#This Row],[SOX S]]+Dashboard!$C$15*tblHistory[[#This Row],[AIQ S]])/SUM(Dashboard!$C$13:$C$15)*100</f>
        <v/>
      </c>
      <c r="S327" s="43">
        <f>(Dashboard!$C$16*tblHistory[[#This Row],[ORCL S]]+Dashboard!$C$17*tblHistory[[#This Row],[CRWV S]])/SUM(Dashboard!$C$16:$C$17)*100</f>
        <v/>
      </c>
      <c r="T327" s="43">
        <f>(Dashboard!$C$18*tblHistory[[#This Row],[BIZD S]]+Dashboard!$C$19*tblHistory[[#This Row],[BKLN S]]+Dashboard!$C$20*tblHistory[[#This Row],[HY S]])/SUM(Dashboard!$C$18:$C$20)*100</f>
        <v/>
      </c>
      <c r="U327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327" s="43">
        <f>IFERROR(--(tblHistory[[#This Row],[Score]]&gt;=50),0)</f>
        <v/>
      </c>
      <c r="W327" s="43">
        <f>IFERROR(--AND(tblHistory[[#This Row],[Score]]&gt;=60,tblHistory[[#This Row],[BIZD S]]&gt;=0.8,tblHistory[[#This Row],[BKLN S]]&gt;=0.5),0)</f>
        <v/>
      </c>
      <c r="X327" s="43">
        <f>IFERROR(--AND(tblHistory[[#This Row],[Score]]&gt;=70,tblHistory[[#This Row],[SOX S]]&gt;=0.83,tblHistory[[#This Row],[AIQ S]]&gt;=0.8),0)</f>
        <v/>
      </c>
      <c r="Y327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327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327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327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327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328">
      <c r="A328" s="39" t="n">
        <v>45856</v>
      </c>
      <c r="B328" s="40" t="n">
        <v>23802.68</v>
      </c>
      <c r="C328" s="40" t="n">
        <v>7610.02</v>
      </c>
      <c r="D328" s="40" t="n">
        <v>41.75</v>
      </c>
      <c r="E328" s="40" t="n">
        <v>172.58</v>
      </c>
      <c r="F328" s="40" t="n">
        <v>22.87</v>
      </c>
      <c r="G328" s="40" t="n">
        <v>18.11</v>
      </c>
      <c r="H328" s="40" t="n">
        <v>20.69</v>
      </c>
      <c r="I328" s="41" t="n">
        <v>288</v>
      </c>
      <c r="J328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328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328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328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328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328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328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328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328" s="43">
        <f>(Dashboard!$C$13*tblHistory[[#This Row],[NDX S]]+Dashboard!$C$14*tblHistory[[#This Row],[SOX S]]+Dashboard!$C$15*tblHistory[[#This Row],[AIQ S]])/SUM(Dashboard!$C$13:$C$15)*100</f>
        <v/>
      </c>
      <c r="S328" s="43">
        <f>(Dashboard!$C$16*tblHistory[[#This Row],[ORCL S]]+Dashboard!$C$17*tblHistory[[#This Row],[CRWV S]])/SUM(Dashboard!$C$16:$C$17)*100</f>
        <v/>
      </c>
      <c r="T328" s="43">
        <f>(Dashboard!$C$18*tblHistory[[#This Row],[BIZD S]]+Dashboard!$C$19*tblHistory[[#This Row],[BKLN S]]+Dashboard!$C$20*tblHistory[[#This Row],[HY S]])/SUM(Dashboard!$C$18:$C$20)*100</f>
        <v/>
      </c>
      <c r="U328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328" s="43">
        <f>IFERROR(--(tblHistory[[#This Row],[Score]]&gt;=50),0)</f>
        <v/>
      </c>
      <c r="W328" s="43">
        <f>IFERROR(--AND(tblHistory[[#This Row],[Score]]&gt;=60,tblHistory[[#This Row],[BIZD S]]&gt;=0.8,tblHistory[[#This Row],[BKLN S]]&gt;=0.5),0)</f>
        <v/>
      </c>
      <c r="X328" s="43">
        <f>IFERROR(--AND(tblHistory[[#This Row],[Score]]&gt;=70,tblHistory[[#This Row],[SOX S]]&gt;=0.83,tblHistory[[#This Row],[AIQ S]]&gt;=0.8),0)</f>
        <v/>
      </c>
      <c r="Y328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328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328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328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328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329">
      <c r="A329" s="39" t="n">
        <v>45855</v>
      </c>
      <c r="B329" s="40" t="n">
        <v>24083.28</v>
      </c>
      <c r="C329" s="40" t="n">
        <v>7914.34</v>
      </c>
      <c r="D329" s="40" t="n">
        <v>41.1</v>
      </c>
      <c r="E329" s="40" t="n">
        <v>175.49</v>
      </c>
      <c r="F329" s="40" t="n">
        <v>23.8</v>
      </c>
      <c r="G329" s="40" t="n">
        <v>18.09</v>
      </c>
      <c r="H329" s="40" t="n">
        <v>20.71</v>
      </c>
      <c r="I329" s="41" t="n">
        <v>301</v>
      </c>
      <c r="J329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329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329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329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329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329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329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329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329" s="43">
        <f>(Dashboard!$C$13*tblHistory[[#This Row],[NDX S]]+Dashboard!$C$14*tblHistory[[#This Row],[SOX S]]+Dashboard!$C$15*tblHistory[[#This Row],[AIQ S]])/SUM(Dashboard!$C$13:$C$15)*100</f>
        <v/>
      </c>
      <c r="S329" s="43">
        <f>(Dashboard!$C$16*tblHistory[[#This Row],[ORCL S]]+Dashboard!$C$17*tblHistory[[#This Row],[CRWV S]])/SUM(Dashboard!$C$16:$C$17)*100</f>
        <v/>
      </c>
      <c r="T329" s="43">
        <f>(Dashboard!$C$18*tblHistory[[#This Row],[BIZD S]]+Dashboard!$C$19*tblHistory[[#This Row],[BKLN S]]+Dashboard!$C$20*tblHistory[[#This Row],[HY S]])/SUM(Dashboard!$C$18:$C$20)*100</f>
        <v/>
      </c>
      <c r="U329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329" s="43">
        <f>IFERROR(--(tblHistory[[#This Row],[Score]]&gt;=50),0)</f>
        <v/>
      </c>
      <c r="W329" s="43">
        <f>IFERROR(--AND(tblHistory[[#This Row],[Score]]&gt;=60,tblHistory[[#This Row],[BIZD S]]&gt;=0.8,tblHistory[[#This Row],[BKLN S]]&gt;=0.5),0)</f>
        <v/>
      </c>
      <c r="X329" s="43">
        <f>IFERROR(--AND(tblHistory[[#This Row],[Score]]&gt;=70,tblHistory[[#This Row],[SOX S]]&gt;=0.83,tblHistory[[#This Row],[AIQ S]]&gt;=0.8),0)</f>
        <v/>
      </c>
      <c r="Y329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329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329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329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329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330">
      <c r="A330" s="39" t="n">
        <v>45854</v>
      </c>
      <c r="B330" s="40" t="n">
        <v>24348.64</v>
      </c>
      <c r="C330" s="40" t="n">
        <v>8096.89</v>
      </c>
      <c r="D330" s="40" t="n">
        <v>42.57</v>
      </c>
      <c r="E330" s="40" t="n">
        <v>177.05</v>
      </c>
      <c r="F330" s="40" t="n">
        <v>23.14</v>
      </c>
      <c r="G330" s="40" t="n">
        <v>18.02</v>
      </c>
      <c r="H330" s="40" t="n">
        <v>20.72</v>
      </c>
      <c r="I330" s="41" t="n">
        <v>297</v>
      </c>
      <c r="J330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330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330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330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330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330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330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330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330" s="43">
        <f>(Dashboard!$C$13*tblHistory[[#This Row],[NDX S]]+Dashboard!$C$14*tblHistory[[#This Row],[SOX S]]+Dashboard!$C$15*tblHistory[[#This Row],[AIQ S]])/SUM(Dashboard!$C$13:$C$15)*100</f>
        <v/>
      </c>
      <c r="S330" s="43">
        <f>(Dashboard!$C$16*tblHistory[[#This Row],[ORCL S]]+Dashboard!$C$17*tblHistory[[#This Row],[CRWV S]])/SUM(Dashboard!$C$16:$C$17)*100</f>
        <v/>
      </c>
      <c r="T330" s="43">
        <f>(Dashboard!$C$18*tblHistory[[#This Row],[BIZD S]]+Dashboard!$C$19*tblHistory[[#This Row],[BKLN S]]+Dashboard!$C$20*tblHistory[[#This Row],[HY S]])/SUM(Dashboard!$C$18:$C$20)*100</f>
        <v/>
      </c>
      <c r="U330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330" s="43">
        <f>IFERROR(--(tblHistory[[#This Row],[Score]]&gt;=50),0)</f>
        <v/>
      </c>
      <c r="W330" s="43">
        <f>IFERROR(--AND(tblHistory[[#This Row],[Score]]&gt;=60,tblHistory[[#This Row],[BIZD S]]&gt;=0.8,tblHistory[[#This Row],[BKLN S]]&gt;=0.5),0)</f>
        <v/>
      </c>
      <c r="X330" s="43">
        <f>IFERROR(--AND(tblHistory[[#This Row],[Score]]&gt;=70,tblHistory[[#This Row],[SOX S]]&gt;=0.83,tblHistory[[#This Row],[AIQ S]]&gt;=0.8),0)</f>
        <v/>
      </c>
      <c r="Y330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330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330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330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330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331">
      <c r="A331" s="39" t="n">
        <v>45853</v>
      </c>
      <c r="B331" s="40" t="n">
        <v>24155.13</v>
      </c>
      <c r="C331" s="40" t="n">
        <v>7935.28</v>
      </c>
      <c r="D331" s="40" t="n">
        <v>42.43</v>
      </c>
      <c r="E331" s="40" t="n">
        <v>183.89</v>
      </c>
      <c r="F331" s="40" t="n">
        <v>22.84</v>
      </c>
      <c r="G331" s="40" t="n">
        <v>17.93</v>
      </c>
      <c r="H331" s="40" t="n">
        <v>20.71</v>
      </c>
      <c r="I331" s="41" t="n">
        <v>303</v>
      </c>
      <c r="J331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331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331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331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331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331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331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331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331" s="43">
        <f>(Dashboard!$C$13*tblHistory[[#This Row],[NDX S]]+Dashboard!$C$14*tblHistory[[#This Row],[SOX S]]+Dashboard!$C$15*tblHistory[[#This Row],[AIQ S]])/SUM(Dashboard!$C$13:$C$15)*100</f>
        <v/>
      </c>
      <c r="S331" s="43">
        <f>(Dashboard!$C$16*tblHistory[[#This Row],[ORCL S]]+Dashboard!$C$17*tblHistory[[#This Row],[CRWV S]])/SUM(Dashboard!$C$16:$C$17)*100</f>
        <v/>
      </c>
      <c r="T331" s="43">
        <f>(Dashboard!$C$18*tblHistory[[#This Row],[BIZD S]]+Dashboard!$C$19*tblHistory[[#This Row],[BKLN S]]+Dashboard!$C$20*tblHistory[[#This Row],[HY S]])/SUM(Dashboard!$C$18:$C$20)*100</f>
        <v/>
      </c>
      <c r="U331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331" s="43">
        <f>IFERROR(--(tblHistory[[#This Row],[Score]]&gt;=50),0)</f>
        <v/>
      </c>
      <c r="W331" s="43">
        <f>IFERROR(--AND(tblHistory[[#This Row],[Score]]&gt;=60,tblHistory[[#This Row],[BIZD S]]&gt;=0.8,tblHistory[[#This Row],[BKLN S]]&gt;=0.5),0)</f>
        <v/>
      </c>
      <c r="X331" s="43">
        <f>IFERROR(--AND(tblHistory[[#This Row],[Score]]&gt;=70,tblHistory[[#This Row],[SOX S]]&gt;=0.83,tblHistory[[#This Row],[AIQ S]]&gt;=0.8),0)</f>
        <v/>
      </c>
      <c r="Y331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331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331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331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331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332">
      <c r="A332" s="39" t="n">
        <v>45852</v>
      </c>
      <c r="B332" s="40" t="n">
        <v>24581.91</v>
      </c>
      <c r="C332" s="40" t="n">
        <v>7903.66</v>
      </c>
      <c r="D332" s="40" t="n">
        <v>42.4</v>
      </c>
      <c r="E332" s="40" t="n">
        <v>189.67</v>
      </c>
      <c r="F332" s="40" t="n">
        <v>22.89</v>
      </c>
      <c r="G332" s="40" t="n">
        <v>18.28</v>
      </c>
      <c r="H332" s="40" t="n">
        <v>20.71</v>
      </c>
      <c r="I332" s="41" t="n">
        <v>311</v>
      </c>
      <c r="J332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332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332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332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332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332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332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332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332" s="43">
        <f>(Dashboard!$C$13*tblHistory[[#This Row],[NDX S]]+Dashboard!$C$14*tblHistory[[#This Row],[SOX S]]+Dashboard!$C$15*tblHistory[[#This Row],[AIQ S]])/SUM(Dashboard!$C$13:$C$15)*100</f>
        <v/>
      </c>
      <c r="S332" s="43">
        <f>(Dashboard!$C$16*tblHistory[[#This Row],[ORCL S]]+Dashboard!$C$17*tblHistory[[#This Row],[CRWV S]])/SUM(Dashboard!$C$16:$C$17)*100</f>
        <v/>
      </c>
      <c r="T332" s="43">
        <f>(Dashboard!$C$18*tblHistory[[#This Row],[BIZD S]]+Dashboard!$C$19*tblHistory[[#This Row],[BKLN S]]+Dashboard!$C$20*tblHistory[[#This Row],[HY S]])/SUM(Dashboard!$C$18:$C$20)*100</f>
        <v/>
      </c>
      <c r="U332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332" s="43">
        <f>IFERROR(--(tblHistory[[#This Row],[Score]]&gt;=50),0)</f>
        <v/>
      </c>
      <c r="W332" s="43">
        <f>IFERROR(--AND(tblHistory[[#This Row],[Score]]&gt;=60,tblHistory[[#This Row],[BIZD S]]&gt;=0.8,tblHistory[[#This Row],[BKLN S]]&gt;=0.5),0)</f>
        <v/>
      </c>
      <c r="X332" s="43">
        <f>IFERROR(--AND(tblHistory[[#This Row],[Score]]&gt;=70,tblHistory[[#This Row],[SOX S]]&gt;=0.83,tblHistory[[#This Row],[AIQ S]]&gt;=0.8),0)</f>
        <v/>
      </c>
      <c r="Y332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332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332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332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332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333">
      <c r="A333" s="39" t="n">
        <v>45849</v>
      </c>
      <c r="B333" s="40" t="n">
        <v>25021.58</v>
      </c>
      <c r="C333" s="40" t="n">
        <v>7895.55</v>
      </c>
      <c r="D333" s="40" t="n">
        <v>42.01</v>
      </c>
      <c r="E333" s="40" t="n">
        <v>184.7</v>
      </c>
      <c r="F333" s="40" t="n">
        <v>24.09</v>
      </c>
      <c r="G333" s="40" t="n">
        <v>18.26</v>
      </c>
      <c r="H333" s="40" t="n">
        <v>20.72</v>
      </c>
      <c r="I333" s="41" t="n">
        <v>318</v>
      </c>
      <c r="J333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333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333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333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333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333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333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333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333" s="43">
        <f>(Dashboard!$C$13*tblHistory[[#This Row],[NDX S]]+Dashboard!$C$14*tblHistory[[#This Row],[SOX S]]+Dashboard!$C$15*tblHistory[[#This Row],[AIQ S]])/SUM(Dashboard!$C$13:$C$15)*100</f>
        <v/>
      </c>
      <c r="S333" s="43">
        <f>(Dashboard!$C$16*tblHistory[[#This Row],[ORCL S]]+Dashboard!$C$17*tblHistory[[#This Row],[CRWV S]])/SUM(Dashboard!$C$16:$C$17)*100</f>
        <v/>
      </c>
      <c r="T333" s="43">
        <f>(Dashboard!$C$18*tblHistory[[#This Row],[BIZD S]]+Dashboard!$C$19*tblHistory[[#This Row],[BKLN S]]+Dashboard!$C$20*tblHistory[[#This Row],[HY S]])/SUM(Dashboard!$C$18:$C$20)*100</f>
        <v/>
      </c>
      <c r="U333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333" s="43">
        <f>IFERROR(--(tblHistory[[#This Row],[Score]]&gt;=50),0)</f>
        <v/>
      </c>
      <c r="W333" s="43">
        <f>IFERROR(--AND(tblHistory[[#This Row],[Score]]&gt;=60,tblHistory[[#This Row],[BIZD S]]&gt;=0.8,tblHistory[[#This Row],[BKLN S]]&gt;=0.5),0)</f>
        <v/>
      </c>
      <c r="X333" s="43">
        <f>IFERROR(--AND(tblHistory[[#This Row],[Score]]&gt;=70,tblHistory[[#This Row],[SOX S]]&gt;=0.83,tblHistory[[#This Row],[AIQ S]]&gt;=0.8),0)</f>
        <v/>
      </c>
      <c r="Y333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333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333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333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333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334">
      <c r="A334" s="39" t="n">
        <v>45848</v>
      </c>
      <c r="B334" s="40" t="n">
        <v>24815.66</v>
      </c>
      <c r="C334" s="40" t="n">
        <v>7987.14</v>
      </c>
      <c r="D334" s="40" t="n">
        <v>42.29</v>
      </c>
      <c r="E334" s="40" t="n">
        <v>184.77</v>
      </c>
      <c r="F334" s="40" t="n">
        <v>23.31</v>
      </c>
      <c r="G334" s="40" t="n">
        <v>18.27</v>
      </c>
      <c r="H334" s="40" t="n">
        <v>20.7</v>
      </c>
      <c r="I334" s="41" t="n">
        <v>328</v>
      </c>
      <c r="J334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334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334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334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334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334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334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334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334" s="43">
        <f>(Dashboard!$C$13*tblHistory[[#This Row],[NDX S]]+Dashboard!$C$14*tblHistory[[#This Row],[SOX S]]+Dashboard!$C$15*tblHistory[[#This Row],[AIQ S]])/SUM(Dashboard!$C$13:$C$15)*100</f>
        <v/>
      </c>
      <c r="S334" s="43">
        <f>(Dashboard!$C$16*tblHistory[[#This Row],[ORCL S]]+Dashboard!$C$17*tblHistory[[#This Row],[CRWV S]])/SUM(Dashboard!$C$16:$C$17)*100</f>
        <v/>
      </c>
      <c r="T334" s="43">
        <f>(Dashboard!$C$18*tblHistory[[#This Row],[BIZD S]]+Dashboard!$C$19*tblHistory[[#This Row],[BKLN S]]+Dashboard!$C$20*tblHistory[[#This Row],[HY S]])/SUM(Dashboard!$C$18:$C$20)*100</f>
        <v/>
      </c>
      <c r="U334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334" s="43">
        <f>IFERROR(--(tblHistory[[#This Row],[Score]]&gt;=50),0)</f>
        <v/>
      </c>
      <c r="W334" s="43">
        <f>IFERROR(--AND(tblHistory[[#This Row],[Score]]&gt;=60,tblHistory[[#This Row],[BIZD S]]&gt;=0.8,tblHistory[[#This Row],[BKLN S]]&gt;=0.5),0)</f>
        <v/>
      </c>
      <c r="X334" s="43">
        <f>IFERROR(--AND(tblHistory[[#This Row],[Score]]&gt;=70,tblHistory[[#This Row],[SOX S]]&gt;=0.83,tblHistory[[#This Row],[AIQ S]]&gt;=0.8),0)</f>
        <v/>
      </c>
      <c r="Y334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334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334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334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334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335">
      <c r="A335" s="39" t="n">
        <v>45847</v>
      </c>
      <c r="B335" s="40" t="n">
        <v>24734.73</v>
      </c>
      <c r="C335" s="40" t="n">
        <v>7630.66</v>
      </c>
      <c r="D335" s="40" t="n">
        <v>42.12</v>
      </c>
      <c r="E335" s="40" t="n">
        <v>178.34</v>
      </c>
      <c r="F335" s="40" t="n">
        <v>22.78</v>
      </c>
      <c r="G335" s="40" t="n">
        <v>18.26</v>
      </c>
      <c r="H335" s="40" t="n">
        <v>20.67</v>
      </c>
      <c r="I335" s="41" t="n">
        <v>333</v>
      </c>
      <c r="J335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335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335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335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335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335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335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335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335" s="43">
        <f>(Dashboard!$C$13*tblHistory[[#This Row],[NDX S]]+Dashboard!$C$14*tblHistory[[#This Row],[SOX S]]+Dashboard!$C$15*tblHistory[[#This Row],[AIQ S]])/SUM(Dashboard!$C$13:$C$15)*100</f>
        <v/>
      </c>
      <c r="S335" s="43">
        <f>(Dashboard!$C$16*tblHistory[[#This Row],[ORCL S]]+Dashboard!$C$17*tblHistory[[#This Row],[CRWV S]])/SUM(Dashboard!$C$16:$C$17)*100</f>
        <v/>
      </c>
      <c r="T335" s="43">
        <f>(Dashboard!$C$18*tblHistory[[#This Row],[BIZD S]]+Dashboard!$C$19*tblHistory[[#This Row],[BKLN S]]+Dashboard!$C$20*tblHistory[[#This Row],[HY S]])/SUM(Dashboard!$C$18:$C$20)*100</f>
        <v/>
      </c>
      <c r="U335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335" s="43">
        <f>IFERROR(--(tblHistory[[#This Row],[Score]]&gt;=50),0)</f>
        <v/>
      </c>
      <c r="W335" s="43">
        <f>IFERROR(--AND(tblHistory[[#This Row],[Score]]&gt;=60,tblHistory[[#This Row],[BIZD S]]&gt;=0.8,tblHistory[[#This Row],[BKLN S]]&gt;=0.5),0)</f>
        <v/>
      </c>
      <c r="X335" s="43">
        <f>IFERROR(--AND(tblHistory[[#This Row],[Score]]&gt;=70,tblHistory[[#This Row],[SOX S]]&gt;=0.83,tblHistory[[#This Row],[AIQ S]]&gt;=0.8),0)</f>
        <v/>
      </c>
      <c r="Y335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335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335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335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335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336">
      <c r="A336" s="39" t="n">
        <v>45846</v>
      </c>
      <c r="B336" s="40" t="n">
        <v>24511.64</v>
      </c>
      <c r="C336" s="40" t="n">
        <v>7725.42</v>
      </c>
      <c r="D336" s="40" t="n">
        <v>42.27</v>
      </c>
      <c r="E336" s="40" t="n">
        <v>171.74</v>
      </c>
      <c r="F336" s="40" t="n">
        <v>23.44</v>
      </c>
      <c r="G336" s="40" t="n">
        <v>18.09</v>
      </c>
      <c r="H336" s="40" t="n">
        <v>20.64</v>
      </c>
      <c r="I336" s="41" t="n">
        <v>336</v>
      </c>
      <c r="J336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336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336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336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336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336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336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336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336" s="43">
        <f>(Dashboard!$C$13*tblHistory[[#This Row],[NDX S]]+Dashboard!$C$14*tblHistory[[#This Row],[SOX S]]+Dashboard!$C$15*tblHistory[[#This Row],[AIQ S]])/SUM(Dashboard!$C$13:$C$15)*100</f>
        <v/>
      </c>
      <c r="S336" s="43">
        <f>(Dashboard!$C$16*tblHistory[[#This Row],[ORCL S]]+Dashboard!$C$17*tblHistory[[#This Row],[CRWV S]])/SUM(Dashboard!$C$16:$C$17)*100</f>
        <v/>
      </c>
      <c r="T336" s="43">
        <f>(Dashboard!$C$18*tblHistory[[#This Row],[BIZD S]]+Dashboard!$C$19*tblHistory[[#This Row],[BKLN S]]+Dashboard!$C$20*tblHistory[[#This Row],[HY S]])/SUM(Dashboard!$C$18:$C$20)*100</f>
        <v/>
      </c>
      <c r="U336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336" s="43">
        <f>IFERROR(--(tblHistory[[#This Row],[Score]]&gt;=50),0)</f>
        <v/>
      </c>
      <c r="W336" s="43">
        <f>IFERROR(--AND(tblHistory[[#This Row],[Score]]&gt;=60,tblHistory[[#This Row],[BIZD S]]&gt;=0.8,tblHistory[[#This Row],[BKLN S]]&gt;=0.5),0)</f>
        <v/>
      </c>
      <c r="X336" s="43">
        <f>IFERROR(--AND(tblHistory[[#This Row],[Score]]&gt;=70,tblHistory[[#This Row],[SOX S]]&gt;=0.83,tblHistory[[#This Row],[AIQ S]]&gt;=0.8),0)</f>
        <v/>
      </c>
      <c r="Y336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336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336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336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336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337">
      <c r="A337" s="39" t="n">
        <v>45845</v>
      </c>
      <c r="B337" s="40" t="n">
        <v>24458.06</v>
      </c>
      <c r="C337" s="40" t="n">
        <v>7479.83</v>
      </c>
      <c r="D337" s="40" t="n">
        <v>42.09</v>
      </c>
      <c r="E337" s="40" t="n">
        <v>173.61</v>
      </c>
      <c r="F337" s="40" t="n">
        <v>22.57</v>
      </c>
      <c r="G337" s="40" t="n">
        <v>18.02</v>
      </c>
      <c r="H337" s="40" t="n">
        <v>20.71</v>
      </c>
      <c r="I337" s="41" t="n">
        <v>334</v>
      </c>
      <c r="J337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337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337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337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337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337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337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337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337" s="43">
        <f>(Dashboard!$C$13*tblHistory[[#This Row],[NDX S]]+Dashboard!$C$14*tblHistory[[#This Row],[SOX S]]+Dashboard!$C$15*tblHistory[[#This Row],[AIQ S]])/SUM(Dashboard!$C$13:$C$15)*100</f>
        <v/>
      </c>
      <c r="S337" s="43">
        <f>(Dashboard!$C$16*tblHistory[[#This Row],[ORCL S]]+Dashboard!$C$17*tblHistory[[#This Row],[CRWV S]])/SUM(Dashboard!$C$16:$C$17)*100</f>
        <v/>
      </c>
      <c r="T337" s="43">
        <f>(Dashboard!$C$18*tblHistory[[#This Row],[BIZD S]]+Dashboard!$C$19*tblHistory[[#This Row],[BKLN S]]+Dashboard!$C$20*tblHistory[[#This Row],[HY S]])/SUM(Dashboard!$C$18:$C$20)*100</f>
        <v/>
      </c>
      <c r="U337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337" s="43">
        <f>IFERROR(--(tblHistory[[#This Row],[Score]]&gt;=50),0)</f>
        <v/>
      </c>
      <c r="W337" s="43">
        <f>IFERROR(--AND(tblHistory[[#This Row],[Score]]&gt;=60,tblHistory[[#This Row],[BIZD S]]&gt;=0.8,tblHistory[[#This Row],[BKLN S]]&gt;=0.5),0)</f>
        <v/>
      </c>
      <c r="X337" s="43">
        <f>IFERROR(--AND(tblHistory[[#This Row],[Score]]&gt;=70,tblHistory[[#This Row],[SOX S]]&gt;=0.83,tblHistory[[#This Row],[AIQ S]]&gt;=0.8),0)</f>
        <v/>
      </c>
      <c r="Y337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337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337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337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337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338">
      <c r="A338" s="39" t="n">
        <v>45842</v>
      </c>
      <c r="B338" s="40" t="n">
        <v>24521.45</v>
      </c>
      <c r="C338" s="40" t="n">
        <v>7431.87</v>
      </c>
      <c r="D338" s="40" t="n">
        <v>42.16</v>
      </c>
      <c r="E338" s="40" t="n">
        <v>176.34</v>
      </c>
      <c r="F338" s="40" t="n">
        <v>25.49</v>
      </c>
      <c r="G338" s="40" t="n">
        <v>18.1</v>
      </c>
      <c r="H338" s="40" t="n">
        <v>20.69</v>
      </c>
      <c r="I338" s="41" t="n">
        <v>335</v>
      </c>
      <c r="J338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338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338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338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338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338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338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338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338" s="43">
        <f>(Dashboard!$C$13*tblHistory[[#This Row],[NDX S]]+Dashboard!$C$14*tblHistory[[#This Row],[SOX S]]+Dashboard!$C$15*tblHistory[[#This Row],[AIQ S]])/SUM(Dashboard!$C$13:$C$15)*100</f>
        <v/>
      </c>
      <c r="S338" s="43">
        <f>(Dashboard!$C$16*tblHistory[[#This Row],[ORCL S]]+Dashboard!$C$17*tblHistory[[#This Row],[CRWV S]])/SUM(Dashboard!$C$16:$C$17)*100</f>
        <v/>
      </c>
      <c r="T338" s="43">
        <f>(Dashboard!$C$18*tblHistory[[#This Row],[BIZD S]]+Dashboard!$C$19*tblHistory[[#This Row],[BKLN S]]+Dashboard!$C$20*tblHistory[[#This Row],[HY S]])/SUM(Dashboard!$C$18:$C$20)*100</f>
        <v/>
      </c>
      <c r="U338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338" s="43">
        <f>IFERROR(--(tblHistory[[#This Row],[Score]]&gt;=50),0)</f>
        <v/>
      </c>
      <c r="W338" s="43">
        <f>IFERROR(--AND(tblHistory[[#This Row],[Score]]&gt;=60,tblHistory[[#This Row],[BIZD S]]&gt;=0.8,tblHistory[[#This Row],[BKLN S]]&gt;=0.5),0)</f>
        <v/>
      </c>
      <c r="X338" s="43">
        <f>IFERROR(--AND(tblHistory[[#This Row],[Score]]&gt;=70,tblHistory[[#This Row],[SOX S]]&gt;=0.83,tblHistory[[#This Row],[AIQ S]]&gt;=0.8),0)</f>
        <v/>
      </c>
      <c r="Y338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338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338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338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338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339">
      <c r="A339" s="39" t="n">
        <v>45841</v>
      </c>
      <c r="B339" s="40" t="n">
        <v>24239.25</v>
      </c>
      <c r="C339" s="40" t="n">
        <v>7519.74</v>
      </c>
      <c r="D339" s="40" t="n">
        <v>42.51</v>
      </c>
      <c r="E339" s="40" t="n">
        <v>176.89</v>
      </c>
      <c r="F339" s="40" t="n">
        <v>23.99</v>
      </c>
      <c r="G339" s="40" t="n">
        <v>18.07</v>
      </c>
      <c r="H339" s="40" t="n">
        <v>20.77</v>
      </c>
      <c r="I339" s="41" t="n">
        <v>337</v>
      </c>
      <c r="J339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339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339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339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339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339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339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339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339" s="43">
        <f>(Dashboard!$C$13*tblHistory[[#This Row],[NDX S]]+Dashboard!$C$14*tblHistory[[#This Row],[SOX S]]+Dashboard!$C$15*tblHistory[[#This Row],[AIQ S]])/SUM(Dashboard!$C$13:$C$15)*100</f>
        <v/>
      </c>
      <c r="S339" s="43">
        <f>(Dashboard!$C$16*tblHistory[[#This Row],[ORCL S]]+Dashboard!$C$17*tblHistory[[#This Row],[CRWV S]])/SUM(Dashboard!$C$16:$C$17)*100</f>
        <v/>
      </c>
      <c r="T339" s="43">
        <f>(Dashboard!$C$18*tblHistory[[#This Row],[BIZD S]]+Dashboard!$C$19*tblHistory[[#This Row],[BKLN S]]+Dashboard!$C$20*tblHistory[[#This Row],[HY S]])/SUM(Dashboard!$C$18:$C$20)*100</f>
        <v/>
      </c>
      <c r="U339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339" s="43">
        <f>IFERROR(--(tblHistory[[#This Row],[Score]]&gt;=50),0)</f>
        <v/>
      </c>
      <c r="W339" s="43">
        <f>IFERROR(--AND(tblHistory[[#This Row],[Score]]&gt;=60,tblHistory[[#This Row],[BIZD S]]&gt;=0.8,tblHistory[[#This Row],[BKLN S]]&gt;=0.5),0)</f>
        <v/>
      </c>
      <c r="X339" s="43">
        <f>IFERROR(--AND(tblHistory[[#This Row],[Score]]&gt;=70,tblHistory[[#This Row],[SOX S]]&gt;=0.83,tblHistory[[#This Row],[AIQ S]]&gt;=0.8),0)</f>
        <v/>
      </c>
      <c r="Y339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339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339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339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339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340">
      <c r="A340" s="39" t="n">
        <v>45840</v>
      </c>
      <c r="B340" s="40" t="n">
        <v>24560.39</v>
      </c>
      <c r="C340" s="40" t="n">
        <v>7470.56</v>
      </c>
      <c r="D340" s="40" t="n">
        <v>41.78</v>
      </c>
      <c r="E340" s="40" t="n">
        <v>175.67</v>
      </c>
      <c r="F340" s="40" t="n">
        <v>24.98</v>
      </c>
      <c r="G340" s="40" t="n">
        <v>18.23</v>
      </c>
      <c r="H340" s="40" t="n">
        <v>20.81</v>
      </c>
      <c r="I340" s="41" t="n">
        <v>338</v>
      </c>
      <c r="J340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340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340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340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340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340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340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340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340" s="43">
        <f>(Dashboard!$C$13*tblHistory[[#This Row],[NDX S]]+Dashboard!$C$14*tblHistory[[#This Row],[SOX S]]+Dashboard!$C$15*tblHistory[[#This Row],[AIQ S]])/SUM(Dashboard!$C$13:$C$15)*100</f>
        <v/>
      </c>
      <c r="S340" s="43">
        <f>(Dashboard!$C$16*tblHistory[[#This Row],[ORCL S]]+Dashboard!$C$17*tblHistory[[#This Row],[CRWV S]])/SUM(Dashboard!$C$16:$C$17)*100</f>
        <v/>
      </c>
      <c r="T340" s="43">
        <f>(Dashboard!$C$18*tblHistory[[#This Row],[BIZD S]]+Dashboard!$C$19*tblHistory[[#This Row],[BKLN S]]+Dashboard!$C$20*tblHistory[[#This Row],[HY S]])/SUM(Dashboard!$C$18:$C$20)*100</f>
        <v/>
      </c>
      <c r="U340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340" s="43">
        <f>IFERROR(--(tblHistory[[#This Row],[Score]]&gt;=50),0)</f>
        <v/>
      </c>
      <c r="W340" s="43">
        <f>IFERROR(--AND(tblHistory[[#This Row],[Score]]&gt;=60,tblHistory[[#This Row],[BIZD S]]&gt;=0.8,tblHistory[[#This Row],[BKLN S]]&gt;=0.5),0)</f>
        <v/>
      </c>
      <c r="X340" s="43">
        <f>IFERROR(--AND(tblHistory[[#This Row],[Score]]&gt;=70,tblHistory[[#This Row],[SOX S]]&gt;=0.83,tblHistory[[#This Row],[AIQ S]]&gt;=0.8),0)</f>
        <v/>
      </c>
      <c r="Y340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340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340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340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340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341">
      <c r="A341" s="39" t="n">
        <v>45839</v>
      </c>
      <c r="B341" s="40" t="n">
        <v>23750.21</v>
      </c>
      <c r="C341" s="40" t="n">
        <v>7488.45</v>
      </c>
      <c r="D341" s="40" t="n">
        <v>42.24</v>
      </c>
      <c r="E341" s="40" t="n">
        <v>173.33</v>
      </c>
      <c r="F341" s="40" t="n">
        <v>23.61</v>
      </c>
      <c r="G341" s="40" t="n">
        <v>18.12</v>
      </c>
      <c r="H341" s="40" t="n">
        <v>20.8</v>
      </c>
      <c r="I341" s="41" t="n">
        <v>338</v>
      </c>
      <c r="J341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341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341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341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341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341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341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341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341" s="43">
        <f>(Dashboard!$C$13*tblHistory[[#This Row],[NDX S]]+Dashboard!$C$14*tblHistory[[#This Row],[SOX S]]+Dashboard!$C$15*tblHistory[[#This Row],[AIQ S]])/SUM(Dashboard!$C$13:$C$15)*100</f>
        <v/>
      </c>
      <c r="S341" s="43">
        <f>(Dashboard!$C$16*tblHistory[[#This Row],[ORCL S]]+Dashboard!$C$17*tblHistory[[#This Row],[CRWV S]])/SUM(Dashboard!$C$16:$C$17)*100</f>
        <v/>
      </c>
      <c r="T341" s="43">
        <f>(Dashboard!$C$18*tblHistory[[#This Row],[BIZD S]]+Dashboard!$C$19*tblHistory[[#This Row],[BKLN S]]+Dashboard!$C$20*tblHistory[[#This Row],[HY S]])/SUM(Dashboard!$C$18:$C$20)*100</f>
        <v/>
      </c>
      <c r="U341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341" s="43">
        <f>IFERROR(--(tblHistory[[#This Row],[Score]]&gt;=50),0)</f>
        <v/>
      </c>
      <c r="W341" s="43">
        <f>IFERROR(--AND(tblHistory[[#This Row],[Score]]&gt;=60,tblHistory[[#This Row],[BIZD S]]&gt;=0.8,tblHistory[[#This Row],[BKLN S]]&gt;=0.5),0)</f>
        <v/>
      </c>
      <c r="X341" s="43">
        <f>IFERROR(--AND(tblHistory[[#This Row],[Score]]&gt;=70,tblHistory[[#This Row],[SOX S]]&gt;=0.83,tblHistory[[#This Row],[AIQ S]]&gt;=0.8),0)</f>
        <v/>
      </c>
      <c r="Y341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341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341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341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341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342">
      <c r="A342" s="39" t="n">
        <v>45838</v>
      </c>
      <c r="B342" s="40" t="n">
        <v>23819.8</v>
      </c>
      <c r="C342" s="40" t="n">
        <v>7363.48</v>
      </c>
      <c r="D342" s="40" t="n">
        <v>41.85</v>
      </c>
      <c r="E342" s="40" t="n">
        <v>181.5</v>
      </c>
      <c r="F342" s="40" t="n">
        <v>23.6</v>
      </c>
      <c r="G342" s="40" t="n">
        <v>18.06</v>
      </c>
      <c r="H342" s="40" t="n">
        <v>20.74</v>
      </c>
      <c r="I342" s="41" t="n">
        <v>335</v>
      </c>
      <c r="J342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342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342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342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342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342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342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342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342" s="43">
        <f>(Dashboard!$C$13*tblHistory[[#This Row],[NDX S]]+Dashboard!$C$14*tblHistory[[#This Row],[SOX S]]+Dashboard!$C$15*tblHistory[[#This Row],[AIQ S]])/SUM(Dashboard!$C$13:$C$15)*100</f>
        <v/>
      </c>
      <c r="S342" s="43">
        <f>(Dashboard!$C$16*tblHistory[[#This Row],[ORCL S]]+Dashboard!$C$17*tblHistory[[#This Row],[CRWV S]])/SUM(Dashboard!$C$16:$C$17)*100</f>
        <v/>
      </c>
      <c r="T342" s="43">
        <f>(Dashboard!$C$18*tblHistory[[#This Row],[BIZD S]]+Dashboard!$C$19*tblHistory[[#This Row],[BKLN S]]+Dashboard!$C$20*tblHistory[[#This Row],[HY S]])/SUM(Dashboard!$C$18:$C$20)*100</f>
        <v/>
      </c>
      <c r="U342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342" s="43">
        <f>IFERROR(--(tblHistory[[#This Row],[Score]]&gt;=50),0)</f>
        <v/>
      </c>
      <c r="W342" s="43">
        <f>IFERROR(--AND(tblHistory[[#This Row],[Score]]&gt;=60,tblHistory[[#This Row],[BIZD S]]&gt;=0.8,tblHistory[[#This Row],[BKLN S]]&gt;=0.5),0)</f>
        <v/>
      </c>
      <c r="X342" s="43">
        <f>IFERROR(--AND(tblHistory[[#This Row],[Score]]&gt;=70,tblHistory[[#This Row],[SOX S]]&gt;=0.83,tblHistory[[#This Row],[AIQ S]]&gt;=0.8),0)</f>
        <v/>
      </c>
      <c r="Y342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342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342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342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342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343">
      <c r="A343" s="39" t="n">
        <v>45835</v>
      </c>
      <c r="B343" s="40" t="n">
        <v>23507.87</v>
      </c>
      <c r="C343" s="40" t="n">
        <v>7361.23</v>
      </c>
      <c r="D343" s="40" t="n">
        <v>42.7</v>
      </c>
      <c r="E343" s="40" t="n">
        <v>183.96</v>
      </c>
      <c r="F343" s="40" t="n">
        <v>24.07</v>
      </c>
      <c r="G343" s="40" t="n">
        <v>18.08</v>
      </c>
      <c r="H343" s="40" t="n">
        <v>20.75</v>
      </c>
      <c r="I343" s="41" t="n">
        <v>329</v>
      </c>
      <c r="J343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343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343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343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343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343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343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343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343" s="43">
        <f>(Dashboard!$C$13*tblHistory[[#This Row],[NDX S]]+Dashboard!$C$14*tblHistory[[#This Row],[SOX S]]+Dashboard!$C$15*tblHistory[[#This Row],[AIQ S]])/SUM(Dashboard!$C$13:$C$15)*100</f>
        <v/>
      </c>
      <c r="S343" s="43">
        <f>(Dashboard!$C$16*tblHistory[[#This Row],[ORCL S]]+Dashboard!$C$17*tblHistory[[#This Row],[CRWV S]])/SUM(Dashboard!$C$16:$C$17)*100</f>
        <v/>
      </c>
      <c r="T343" s="43">
        <f>(Dashboard!$C$18*tblHistory[[#This Row],[BIZD S]]+Dashboard!$C$19*tblHistory[[#This Row],[BKLN S]]+Dashboard!$C$20*tblHistory[[#This Row],[HY S]])/SUM(Dashboard!$C$18:$C$20)*100</f>
        <v/>
      </c>
      <c r="U343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343" s="43">
        <f>IFERROR(--(tblHistory[[#This Row],[Score]]&gt;=50),0)</f>
        <v/>
      </c>
      <c r="W343" s="43">
        <f>IFERROR(--AND(tblHistory[[#This Row],[Score]]&gt;=60,tblHistory[[#This Row],[BIZD S]]&gt;=0.8,tblHistory[[#This Row],[BKLN S]]&gt;=0.5),0)</f>
        <v/>
      </c>
      <c r="X343" s="43">
        <f>IFERROR(--AND(tblHistory[[#This Row],[Score]]&gt;=70,tblHistory[[#This Row],[SOX S]]&gt;=0.83,tblHistory[[#This Row],[AIQ S]]&gt;=0.8),0)</f>
        <v/>
      </c>
      <c r="Y343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343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343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343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343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344">
      <c r="A344" s="39" t="n">
        <v>45834</v>
      </c>
      <c r="B344" s="40" t="n">
        <v>23065.46</v>
      </c>
      <c r="C344" s="40" t="n">
        <v>7451.38</v>
      </c>
      <c r="D344" s="40" t="n">
        <v>42.56</v>
      </c>
      <c r="E344" s="40" t="n">
        <v>190.91</v>
      </c>
      <c r="F344" s="40" t="n">
        <v>24.3</v>
      </c>
      <c r="G344" s="40" t="n">
        <v>18.11</v>
      </c>
      <c r="H344" s="40" t="n">
        <v>20.69</v>
      </c>
      <c r="I344" s="41" t="n">
        <v>319</v>
      </c>
      <c r="J344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344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344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344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344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344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344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344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344" s="43">
        <f>(Dashboard!$C$13*tblHistory[[#This Row],[NDX S]]+Dashboard!$C$14*tblHistory[[#This Row],[SOX S]]+Dashboard!$C$15*tblHistory[[#This Row],[AIQ S]])/SUM(Dashboard!$C$13:$C$15)*100</f>
        <v/>
      </c>
      <c r="S344" s="43">
        <f>(Dashboard!$C$16*tblHistory[[#This Row],[ORCL S]]+Dashboard!$C$17*tblHistory[[#This Row],[CRWV S]])/SUM(Dashboard!$C$16:$C$17)*100</f>
        <v/>
      </c>
      <c r="T344" s="43">
        <f>(Dashboard!$C$18*tblHistory[[#This Row],[BIZD S]]+Dashboard!$C$19*tblHistory[[#This Row],[BKLN S]]+Dashboard!$C$20*tblHistory[[#This Row],[HY S]])/SUM(Dashboard!$C$18:$C$20)*100</f>
        <v/>
      </c>
      <c r="U344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344" s="43">
        <f>IFERROR(--(tblHistory[[#This Row],[Score]]&gt;=50),0)</f>
        <v/>
      </c>
      <c r="W344" s="43">
        <f>IFERROR(--AND(tblHistory[[#This Row],[Score]]&gt;=60,tblHistory[[#This Row],[BIZD S]]&gt;=0.8,tblHistory[[#This Row],[BKLN S]]&gt;=0.5),0)</f>
        <v/>
      </c>
      <c r="X344" s="43">
        <f>IFERROR(--AND(tblHistory[[#This Row],[Score]]&gt;=70,tblHistory[[#This Row],[SOX S]]&gt;=0.83,tblHistory[[#This Row],[AIQ S]]&gt;=0.8),0)</f>
        <v/>
      </c>
      <c r="Y344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344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344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344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344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345">
      <c r="A345" s="39" t="n">
        <v>45833</v>
      </c>
      <c r="B345" s="40" t="n">
        <v>23076.11</v>
      </c>
      <c r="C345" s="40" t="n">
        <v>7671.37</v>
      </c>
      <c r="D345" s="40" t="n">
        <v>41.98</v>
      </c>
      <c r="E345" s="40" t="n">
        <v>190.14</v>
      </c>
      <c r="F345" s="40" t="n">
        <v>22.31</v>
      </c>
      <c r="G345" s="40" t="n">
        <v>17.85</v>
      </c>
      <c r="H345" s="40" t="n">
        <v>20.69</v>
      </c>
      <c r="I345" s="41" t="n">
        <v>315</v>
      </c>
      <c r="J345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345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345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345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345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345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345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345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345" s="43">
        <f>(Dashboard!$C$13*tblHistory[[#This Row],[NDX S]]+Dashboard!$C$14*tblHistory[[#This Row],[SOX S]]+Dashboard!$C$15*tblHistory[[#This Row],[AIQ S]])/SUM(Dashboard!$C$13:$C$15)*100</f>
        <v/>
      </c>
      <c r="S345" s="43">
        <f>(Dashboard!$C$16*tblHistory[[#This Row],[ORCL S]]+Dashboard!$C$17*tblHistory[[#This Row],[CRWV S]])/SUM(Dashboard!$C$16:$C$17)*100</f>
        <v/>
      </c>
      <c r="T345" s="43">
        <f>(Dashboard!$C$18*tblHistory[[#This Row],[BIZD S]]+Dashboard!$C$19*tblHistory[[#This Row],[BKLN S]]+Dashboard!$C$20*tblHistory[[#This Row],[HY S]])/SUM(Dashboard!$C$18:$C$20)*100</f>
        <v/>
      </c>
      <c r="U345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345" s="43">
        <f>IFERROR(--(tblHistory[[#This Row],[Score]]&gt;=50),0)</f>
        <v/>
      </c>
      <c r="W345" s="43">
        <f>IFERROR(--AND(tblHistory[[#This Row],[Score]]&gt;=60,tblHistory[[#This Row],[BIZD S]]&gt;=0.8,tblHistory[[#This Row],[BKLN S]]&gt;=0.5),0)</f>
        <v/>
      </c>
      <c r="X345" s="43">
        <f>IFERROR(--AND(tblHistory[[#This Row],[Score]]&gt;=70,tblHistory[[#This Row],[SOX S]]&gt;=0.83,tblHistory[[#This Row],[AIQ S]]&gt;=0.8),0)</f>
        <v/>
      </c>
      <c r="Y345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345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345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345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345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346">
      <c r="A346" s="39" t="n">
        <v>45832</v>
      </c>
      <c r="B346" s="40" t="n">
        <v>23023.18</v>
      </c>
      <c r="C346" s="40" t="n">
        <v>7596.73</v>
      </c>
      <c r="D346" s="40" t="n">
        <v>42.57</v>
      </c>
      <c r="E346" s="40" t="n">
        <v>188.93</v>
      </c>
      <c r="F346" s="40" t="n">
        <v>21.51</v>
      </c>
      <c r="G346" s="40" t="n">
        <v>17.79</v>
      </c>
      <c r="H346" s="40" t="n">
        <v>20.71</v>
      </c>
      <c r="I346" s="41" t="n">
        <v>311</v>
      </c>
      <c r="J346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346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346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346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346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346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346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346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346" s="43">
        <f>(Dashboard!$C$13*tblHistory[[#This Row],[NDX S]]+Dashboard!$C$14*tblHistory[[#This Row],[SOX S]]+Dashboard!$C$15*tblHistory[[#This Row],[AIQ S]])/SUM(Dashboard!$C$13:$C$15)*100</f>
        <v/>
      </c>
      <c r="S346" s="43">
        <f>(Dashboard!$C$16*tblHistory[[#This Row],[ORCL S]]+Dashboard!$C$17*tblHistory[[#This Row],[CRWV S]])/SUM(Dashboard!$C$16:$C$17)*100</f>
        <v/>
      </c>
      <c r="T346" s="43">
        <f>(Dashboard!$C$18*tblHistory[[#This Row],[BIZD S]]+Dashboard!$C$19*tblHistory[[#This Row],[BKLN S]]+Dashboard!$C$20*tblHistory[[#This Row],[HY S]])/SUM(Dashboard!$C$18:$C$20)*100</f>
        <v/>
      </c>
      <c r="U346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346" s="43">
        <f>IFERROR(--(tblHistory[[#This Row],[Score]]&gt;=50),0)</f>
        <v/>
      </c>
      <c r="W346" s="43">
        <f>IFERROR(--AND(tblHistory[[#This Row],[Score]]&gt;=60,tblHistory[[#This Row],[BIZD S]]&gt;=0.8,tblHistory[[#This Row],[BKLN S]]&gt;=0.5),0)</f>
        <v/>
      </c>
      <c r="X346" s="43">
        <f>IFERROR(--AND(tblHistory[[#This Row],[Score]]&gt;=70,tblHistory[[#This Row],[SOX S]]&gt;=0.83,tblHistory[[#This Row],[AIQ S]]&gt;=0.8),0)</f>
        <v/>
      </c>
      <c r="Y346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346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346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346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346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347">
      <c r="A347" s="39" t="n">
        <v>45831</v>
      </c>
      <c r="B347" s="40" t="n">
        <v>22790.32</v>
      </c>
      <c r="C347" s="40" t="n">
        <v>7679.28</v>
      </c>
      <c r="D347" s="40" t="n">
        <v>42.09</v>
      </c>
      <c r="E347" s="40" t="n">
        <v>186.52</v>
      </c>
      <c r="F347" s="40" t="n">
        <v>21.07</v>
      </c>
      <c r="G347" s="40" t="n">
        <v>17.74</v>
      </c>
      <c r="H347" s="40" t="n">
        <v>20.74</v>
      </c>
      <c r="I347" s="41" t="n">
        <v>311</v>
      </c>
      <c r="J347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347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347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347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347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347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347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347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347" s="43">
        <f>(Dashboard!$C$13*tblHistory[[#This Row],[NDX S]]+Dashboard!$C$14*tblHistory[[#This Row],[SOX S]]+Dashboard!$C$15*tblHistory[[#This Row],[AIQ S]])/SUM(Dashboard!$C$13:$C$15)*100</f>
        <v/>
      </c>
      <c r="S347" s="43">
        <f>(Dashboard!$C$16*tblHistory[[#This Row],[ORCL S]]+Dashboard!$C$17*tblHistory[[#This Row],[CRWV S]])/SUM(Dashboard!$C$16:$C$17)*100</f>
        <v/>
      </c>
      <c r="T347" s="43">
        <f>(Dashboard!$C$18*tblHistory[[#This Row],[BIZD S]]+Dashboard!$C$19*tblHistory[[#This Row],[BKLN S]]+Dashboard!$C$20*tblHistory[[#This Row],[HY S]])/SUM(Dashboard!$C$18:$C$20)*100</f>
        <v/>
      </c>
      <c r="U347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347" s="43">
        <f>IFERROR(--(tblHistory[[#This Row],[Score]]&gt;=50),0)</f>
        <v/>
      </c>
      <c r="W347" s="43">
        <f>IFERROR(--AND(tblHistory[[#This Row],[Score]]&gt;=60,tblHistory[[#This Row],[BIZD S]]&gt;=0.8,tblHistory[[#This Row],[BKLN S]]&gt;=0.5),0)</f>
        <v/>
      </c>
      <c r="X347" s="43">
        <f>IFERROR(--AND(tblHistory[[#This Row],[Score]]&gt;=70,tblHistory[[#This Row],[SOX S]]&gt;=0.83,tblHistory[[#This Row],[AIQ S]]&gt;=0.8),0)</f>
        <v/>
      </c>
      <c r="Y347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347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347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347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347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348">
      <c r="A348" s="39" t="n">
        <v>45828</v>
      </c>
      <c r="B348" s="40" t="n">
        <v>22724.48</v>
      </c>
      <c r="C348" s="40" t="n">
        <v>7713.84</v>
      </c>
      <c r="D348" s="40" t="n">
        <v>42.21</v>
      </c>
      <c r="E348" s="40" t="n">
        <v>185.65</v>
      </c>
      <c r="F348" s="40" t="n">
        <v>21.35</v>
      </c>
      <c r="G348" s="40" t="n">
        <v>17.64</v>
      </c>
      <c r="H348" s="40" t="n">
        <v>20.74</v>
      </c>
      <c r="I348" s="41" t="n">
        <v>299</v>
      </c>
      <c r="J348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348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348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348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348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348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348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348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348" s="43">
        <f>(Dashboard!$C$13*tblHistory[[#This Row],[NDX S]]+Dashboard!$C$14*tblHistory[[#This Row],[SOX S]]+Dashboard!$C$15*tblHistory[[#This Row],[AIQ S]])/SUM(Dashboard!$C$13:$C$15)*100</f>
        <v/>
      </c>
      <c r="S348" s="43">
        <f>(Dashboard!$C$16*tblHistory[[#This Row],[ORCL S]]+Dashboard!$C$17*tblHistory[[#This Row],[CRWV S]])/SUM(Dashboard!$C$16:$C$17)*100</f>
        <v/>
      </c>
      <c r="T348" s="43">
        <f>(Dashboard!$C$18*tblHistory[[#This Row],[BIZD S]]+Dashboard!$C$19*tblHistory[[#This Row],[BKLN S]]+Dashboard!$C$20*tblHistory[[#This Row],[HY S]])/SUM(Dashboard!$C$18:$C$20)*100</f>
        <v/>
      </c>
      <c r="U348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348" s="43">
        <f>IFERROR(--(tblHistory[[#This Row],[Score]]&gt;=50),0)</f>
        <v/>
      </c>
      <c r="W348" s="43">
        <f>IFERROR(--AND(tblHistory[[#This Row],[Score]]&gt;=60,tblHistory[[#This Row],[BIZD S]]&gt;=0.8,tblHistory[[#This Row],[BKLN S]]&gt;=0.5),0)</f>
        <v/>
      </c>
      <c r="X348" s="43">
        <f>IFERROR(--AND(tblHistory[[#This Row],[Score]]&gt;=70,tblHistory[[#This Row],[SOX S]]&gt;=0.83,tblHistory[[#This Row],[AIQ S]]&gt;=0.8),0)</f>
        <v/>
      </c>
      <c r="Y348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348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348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348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348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349">
      <c r="A349" s="39" t="n">
        <v>45827</v>
      </c>
      <c r="B349" s="40" t="n">
        <v>22751.58</v>
      </c>
      <c r="C349" s="40" t="n">
        <v>7579.36</v>
      </c>
      <c r="D349" s="40" t="n">
        <v>41.55</v>
      </c>
      <c r="E349" s="40" t="n">
        <v>184.48</v>
      </c>
      <c r="F349" s="40" t="n">
        <v>23.12</v>
      </c>
      <c r="G349" s="40" t="n">
        <v>17.76</v>
      </c>
      <c r="H349" s="40" t="n">
        <v>20.78</v>
      </c>
      <c r="I349" s="41" t="n"/>
      <c r="J349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349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349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349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349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349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349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349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349" s="43">
        <f>(Dashboard!$C$13*tblHistory[[#This Row],[NDX S]]+Dashboard!$C$14*tblHistory[[#This Row],[SOX S]]+Dashboard!$C$15*tblHistory[[#This Row],[AIQ S]])/SUM(Dashboard!$C$13:$C$15)*100</f>
        <v/>
      </c>
      <c r="S349" s="43">
        <f>(Dashboard!$C$16*tblHistory[[#This Row],[ORCL S]]+Dashboard!$C$17*tblHistory[[#This Row],[CRWV S]])/SUM(Dashboard!$C$16:$C$17)*100</f>
        <v/>
      </c>
      <c r="T349" s="43">
        <f>(Dashboard!$C$18*tblHistory[[#This Row],[BIZD S]]+Dashboard!$C$19*tblHistory[[#This Row],[BKLN S]]+Dashboard!$C$20*tblHistory[[#This Row],[HY S]])/SUM(Dashboard!$C$18:$C$20)*100</f>
        <v/>
      </c>
      <c r="U349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349" s="43">
        <f>IFERROR(--(tblHistory[[#This Row],[Score]]&gt;=50),0)</f>
        <v/>
      </c>
      <c r="W349" s="43">
        <f>IFERROR(--AND(tblHistory[[#This Row],[Score]]&gt;=60,tblHistory[[#This Row],[BIZD S]]&gt;=0.8,tblHistory[[#This Row],[BKLN S]]&gt;=0.5),0)</f>
        <v/>
      </c>
      <c r="X349" s="43">
        <f>IFERROR(--AND(tblHistory[[#This Row],[Score]]&gt;=70,tblHistory[[#This Row],[SOX S]]&gt;=0.83,tblHistory[[#This Row],[AIQ S]]&gt;=0.8),0)</f>
        <v/>
      </c>
      <c r="Y349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349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349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349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349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350">
      <c r="A350" s="39" t="n">
        <v>45826</v>
      </c>
      <c r="B350" s="40" t="n">
        <v>22414.29</v>
      </c>
      <c r="C350" s="40" t="n">
        <v>7653.46</v>
      </c>
      <c r="D350" s="40" t="n">
        <v>41.18</v>
      </c>
      <c r="E350" s="40" t="n">
        <v>184.36</v>
      </c>
      <c r="F350" s="40" t="n">
        <v>23.09</v>
      </c>
      <c r="G350" s="40" t="n">
        <v>17.64</v>
      </c>
      <c r="H350" s="40" t="n">
        <v>20.77</v>
      </c>
      <c r="I350" s="41" t="n">
        <v>293</v>
      </c>
      <c r="J350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350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350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350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350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350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350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350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350" s="43">
        <f>(Dashboard!$C$13*tblHistory[[#This Row],[NDX S]]+Dashboard!$C$14*tblHistory[[#This Row],[SOX S]]+Dashboard!$C$15*tblHistory[[#This Row],[AIQ S]])/SUM(Dashboard!$C$13:$C$15)*100</f>
        <v/>
      </c>
      <c r="S350" s="43">
        <f>(Dashboard!$C$16*tblHistory[[#This Row],[ORCL S]]+Dashboard!$C$17*tblHistory[[#This Row],[CRWV S]])/SUM(Dashboard!$C$16:$C$17)*100</f>
        <v/>
      </c>
      <c r="T350" s="43">
        <f>(Dashboard!$C$18*tblHistory[[#This Row],[BIZD S]]+Dashboard!$C$19*tblHistory[[#This Row],[BKLN S]]+Dashboard!$C$20*tblHistory[[#This Row],[HY S]])/SUM(Dashboard!$C$18:$C$20)*100</f>
        <v/>
      </c>
      <c r="U350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350" s="43">
        <f>IFERROR(--(tblHistory[[#This Row],[Score]]&gt;=50),0)</f>
        <v/>
      </c>
      <c r="W350" s="43">
        <f>IFERROR(--AND(tblHistory[[#This Row],[Score]]&gt;=60,tblHistory[[#This Row],[BIZD S]]&gt;=0.8,tblHistory[[#This Row],[BKLN S]]&gt;=0.5),0)</f>
        <v/>
      </c>
      <c r="X350" s="43">
        <f>IFERROR(--AND(tblHistory[[#This Row],[Score]]&gt;=70,tblHistory[[#This Row],[SOX S]]&gt;=0.83,tblHistory[[#This Row],[AIQ S]]&gt;=0.8),0)</f>
        <v/>
      </c>
      <c r="Y350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350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350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350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350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351">
      <c r="A351" s="39" t="n">
        <v>45825</v>
      </c>
      <c r="B351" s="40" t="n">
        <v>22353.63</v>
      </c>
      <c r="C351" s="40" t="n">
        <v>7610.33</v>
      </c>
      <c r="D351" s="40" t="n">
        <v>41.48</v>
      </c>
      <c r="E351" s="40" t="n">
        <v>193.02</v>
      </c>
      <c r="F351" s="40" t="n">
        <v>22.12</v>
      </c>
      <c r="G351" s="40" t="n">
        <v>17.74</v>
      </c>
      <c r="H351" s="40" t="n">
        <v>20.74</v>
      </c>
      <c r="I351" s="41" t="n">
        <v>294</v>
      </c>
      <c r="J351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351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351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351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351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351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351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351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351" s="43">
        <f>(Dashboard!$C$13*tblHistory[[#This Row],[NDX S]]+Dashboard!$C$14*tblHistory[[#This Row],[SOX S]]+Dashboard!$C$15*tblHistory[[#This Row],[AIQ S]])/SUM(Dashboard!$C$13:$C$15)*100</f>
        <v/>
      </c>
      <c r="S351" s="43">
        <f>(Dashboard!$C$16*tblHistory[[#This Row],[ORCL S]]+Dashboard!$C$17*tblHistory[[#This Row],[CRWV S]])/SUM(Dashboard!$C$16:$C$17)*100</f>
        <v/>
      </c>
      <c r="T351" s="43">
        <f>(Dashboard!$C$18*tblHistory[[#This Row],[BIZD S]]+Dashboard!$C$19*tblHistory[[#This Row],[BKLN S]]+Dashboard!$C$20*tblHistory[[#This Row],[HY S]])/SUM(Dashboard!$C$18:$C$20)*100</f>
        <v/>
      </c>
      <c r="U351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351" s="43">
        <f>IFERROR(--(tblHistory[[#This Row],[Score]]&gt;=50),0)</f>
        <v/>
      </c>
      <c r="W351" s="43">
        <f>IFERROR(--AND(tblHistory[[#This Row],[Score]]&gt;=60,tblHistory[[#This Row],[BIZD S]]&gt;=0.8,tblHistory[[#This Row],[BKLN S]]&gt;=0.5),0)</f>
        <v/>
      </c>
      <c r="X351" s="43">
        <f>IFERROR(--AND(tblHistory[[#This Row],[Score]]&gt;=70,tblHistory[[#This Row],[SOX S]]&gt;=0.83,tblHistory[[#This Row],[AIQ S]]&gt;=0.8),0)</f>
        <v/>
      </c>
      <c r="Y351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351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351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351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351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352">
      <c r="A352" s="39" t="n">
        <v>45824</v>
      </c>
      <c r="B352" s="40" t="n">
        <v>22743.84</v>
      </c>
      <c r="C352" s="40" t="n">
        <v>7599.47</v>
      </c>
      <c r="D352" s="40" t="n">
        <v>40.62</v>
      </c>
      <c r="E352" s="40" t="n">
        <v>188.75</v>
      </c>
      <c r="F352" s="40" t="n">
        <v>21.57</v>
      </c>
      <c r="G352" s="40" t="n">
        <v>17.67</v>
      </c>
      <c r="H352" s="40" t="n">
        <v>20.76</v>
      </c>
      <c r="I352" s="41" t="n">
        <v>292</v>
      </c>
      <c r="J352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352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352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352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352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352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352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352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352" s="43">
        <f>(Dashboard!$C$13*tblHistory[[#This Row],[NDX S]]+Dashboard!$C$14*tblHistory[[#This Row],[SOX S]]+Dashboard!$C$15*tblHistory[[#This Row],[AIQ S]])/SUM(Dashboard!$C$13:$C$15)*100</f>
        <v/>
      </c>
      <c r="S352" s="43">
        <f>(Dashboard!$C$16*tblHistory[[#This Row],[ORCL S]]+Dashboard!$C$17*tblHistory[[#This Row],[CRWV S]])/SUM(Dashboard!$C$16:$C$17)*100</f>
        <v/>
      </c>
      <c r="T352" s="43">
        <f>(Dashboard!$C$18*tblHistory[[#This Row],[BIZD S]]+Dashboard!$C$19*tblHistory[[#This Row],[BKLN S]]+Dashboard!$C$20*tblHistory[[#This Row],[HY S]])/SUM(Dashboard!$C$18:$C$20)*100</f>
        <v/>
      </c>
      <c r="U352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352" s="43">
        <f>IFERROR(--(tblHistory[[#This Row],[Score]]&gt;=50),0)</f>
        <v/>
      </c>
      <c r="W352" s="43">
        <f>IFERROR(--AND(tblHistory[[#This Row],[Score]]&gt;=60,tblHistory[[#This Row],[BIZD S]]&gt;=0.8,tblHistory[[#This Row],[BKLN S]]&gt;=0.5),0)</f>
        <v/>
      </c>
      <c r="X352" s="43">
        <f>IFERROR(--AND(tblHistory[[#This Row],[Score]]&gt;=70,tblHistory[[#This Row],[SOX S]]&gt;=0.83,tblHistory[[#This Row],[AIQ S]]&gt;=0.8),0)</f>
        <v/>
      </c>
      <c r="Y352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352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352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352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352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353">
      <c r="A353" s="39" t="n">
        <v>45821</v>
      </c>
      <c r="B353" s="40" t="n">
        <v>22544.62</v>
      </c>
      <c r="C353" s="40" t="n">
        <v>7884.82</v>
      </c>
      <c r="D353" s="40" t="n">
        <v>40.77</v>
      </c>
      <c r="E353" s="40" t="n">
        <v>190.74</v>
      </c>
      <c r="F353" s="40" t="n">
        <v>22.82</v>
      </c>
      <c r="G353" s="40" t="n">
        <v>17.65</v>
      </c>
      <c r="H353" s="40" t="n">
        <v>20.72</v>
      </c>
      <c r="I353" s="41" t="n">
        <v>299</v>
      </c>
      <c r="J353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353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353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353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353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353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353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353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353" s="43">
        <f>(Dashboard!$C$13*tblHistory[[#This Row],[NDX S]]+Dashboard!$C$14*tblHistory[[#This Row],[SOX S]]+Dashboard!$C$15*tblHistory[[#This Row],[AIQ S]])/SUM(Dashboard!$C$13:$C$15)*100</f>
        <v/>
      </c>
      <c r="S353" s="43">
        <f>(Dashboard!$C$16*tblHistory[[#This Row],[ORCL S]]+Dashboard!$C$17*tblHistory[[#This Row],[CRWV S]])/SUM(Dashboard!$C$16:$C$17)*100</f>
        <v/>
      </c>
      <c r="T353" s="43">
        <f>(Dashboard!$C$18*tblHistory[[#This Row],[BIZD S]]+Dashboard!$C$19*tblHistory[[#This Row],[BKLN S]]+Dashboard!$C$20*tblHistory[[#This Row],[HY S]])/SUM(Dashboard!$C$18:$C$20)*100</f>
        <v/>
      </c>
      <c r="U353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353" s="43">
        <f>IFERROR(--(tblHistory[[#This Row],[Score]]&gt;=50),0)</f>
        <v/>
      </c>
      <c r="W353" s="43">
        <f>IFERROR(--AND(tblHistory[[#This Row],[Score]]&gt;=60,tblHistory[[#This Row],[BIZD S]]&gt;=0.8,tblHistory[[#This Row],[BKLN S]]&gt;=0.5),0)</f>
        <v/>
      </c>
      <c r="X353" s="43">
        <f>IFERROR(--AND(tblHistory[[#This Row],[Score]]&gt;=70,tblHistory[[#This Row],[SOX S]]&gt;=0.83,tblHistory[[#This Row],[AIQ S]]&gt;=0.8),0)</f>
        <v/>
      </c>
      <c r="Y353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353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353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353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353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354">
      <c r="A354" s="39" t="n">
        <v>45820</v>
      </c>
      <c r="B354" s="40" t="n">
        <v>22925.89</v>
      </c>
      <c r="C354" s="40" t="n">
        <v>8050.3</v>
      </c>
      <c r="D354" s="40" t="n">
        <v>40.69</v>
      </c>
      <c r="E354" s="40" t="n">
        <v>184.54</v>
      </c>
      <c r="F354" s="40" t="n">
        <v>23.04</v>
      </c>
      <c r="G354" s="40" t="n">
        <v>17.72</v>
      </c>
      <c r="H354" s="40" t="n">
        <v>20.74</v>
      </c>
      <c r="I354" s="41" t="n">
        <v>295</v>
      </c>
      <c r="J354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354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354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354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354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354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354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354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354" s="43">
        <f>(Dashboard!$C$13*tblHistory[[#This Row],[NDX S]]+Dashboard!$C$14*tblHistory[[#This Row],[SOX S]]+Dashboard!$C$15*tblHistory[[#This Row],[AIQ S]])/SUM(Dashboard!$C$13:$C$15)*100</f>
        <v/>
      </c>
      <c r="S354" s="43">
        <f>(Dashboard!$C$16*tblHistory[[#This Row],[ORCL S]]+Dashboard!$C$17*tblHistory[[#This Row],[CRWV S]])/SUM(Dashboard!$C$16:$C$17)*100</f>
        <v/>
      </c>
      <c r="T354" s="43">
        <f>(Dashboard!$C$18*tblHistory[[#This Row],[BIZD S]]+Dashboard!$C$19*tblHistory[[#This Row],[BKLN S]]+Dashboard!$C$20*tblHistory[[#This Row],[HY S]])/SUM(Dashboard!$C$18:$C$20)*100</f>
        <v/>
      </c>
      <c r="U354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354" s="43">
        <f>IFERROR(--(tblHistory[[#This Row],[Score]]&gt;=50),0)</f>
        <v/>
      </c>
      <c r="W354" s="43">
        <f>IFERROR(--AND(tblHistory[[#This Row],[Score]]&gt;=60,tblHistory[[#This Row],[BIZD S]]&gt;=0.8,tblHistory[[#This Row],[BKLN S]]&gt;=0.5),0)</f>
        <v/>
      </c>
      <c r="X354" s="43">
        <f>IFERROR(--AND(tblHistory[[#This Row],[Score]]&gt;=70,tblHistory[[#This Row],[SOX S]]&gt;=0.83,tblHistory[[#This Row],[AIQ S]]&gt;=0.8),0)</f>
        <v/>
      </c>
      <c r="Y354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354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354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354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354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355">
      <c r="A355" s="39" t="n">
        <v>45819</v>
      </c>
      <c r="B355" s="40" t="n">
        <v>22614.76</v>
      </c>
      <c r="C355" s="40" t="n">
        <v>7988.08</v>
      </c>
      <c r="D355" s="40" t="n">
        <v>40.26</v>
      </c>
      <c r="E355" s="40" t="n">
        <v>188.25</v>
      </c>
      <c r="F355" s="40" t="n">
        <v>21.86</v>
      </c>
      <c r="G355" s="40" t="n">
        <v>17.83</v>
      </c>
      <c r="H355" s="40" t="n">
        <v>20.73</v>
      </c>
      <c r="I355" s="41" t="n">
        <v>294</v>
      </c>
      <c r="J355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355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355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355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355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355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355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355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355" s="43">
        <f>(Dashboard!$C$13*tblHistory[[#This Row],[NDX S]]+Dashboard!$C$14*tblHistory[[#This Row],[SOX S]]+Dashboard!$C$15*tblHistory[[#This Row],[AIQ S]])/SUM(Dashboard!$C$13:$C$15)*100</f>
        <v/>
      </c>
      <c r="S355" s="43">
        <f>(Dashboard!$C$16*tblHistory[[#This Row],[ORCL S]]+Dashboard!$C$17*tblHistory[[#This Row],[CRWV S]])/SUM(Dashboard!$C$16:$C$17)*100</f>
        <v/>
      </c>
      <c r="T355" s="43">
        <f>(Dashboard!$C$18*tblHistory[[#This Row],[BIZD S]]+Dashboard!$C$19*tblHistory[[#This Row],[BKLN S]]+Dashboard!$C$20*tblHistory[[#This Row],[HY S]])/SUM(Dashboard!$C$18:$C$20)*100</f>
        <v/>
      </c>
      <c r="U355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355" s="43">
        <f>IFERROR(--(tblHistory[[#This Row],[Score]]&gt;=50),0)</f>
        <v/>
      </c>
      <c r="W355" s="43">
        <f>IFERROR(--AND(tblHistory[[#This Row],[Score]]&gt;=60,tblHistory[[#This Row],[BIZD S]]&gt;=0.8,tblHistory[[#This Row],[BKLN S]]&gt;=0.5),0)</f>
        <v/>
      </c>
      <c r="X355" s="43">
        <f>IFERROR(--AND(tblHistory[[#This Row],[Score]]&gt;=70,tblHistory[[#This Row],[SOX S]]&gt;=0.83,tblHistory[[#This Row],[AIQ S]]&gt;=0.8),0)</f>
        <v/>
      </c>
      <c r="Y355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355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355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355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355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356">
      <c r="A356" s="39" t="n">
        <v>45818</v>
      </c>
      <c r="B356" s="40" t="n">
        <v>23340.66</v>
      </c>
      <c r="C356" s="40" t="n">
        <v>8085.66</v>
      </c>
      <c r="D356" s="40" t="n">
        <v>39.75</v>
      </c>
      <c r="E356" s="40" t="n">
        <v>187.38</v>
      </c>
      <c r="F356" s="40" t="n">
        <v>22.74</v>
      </c>
      <c r="G356" s="40" t="n">
        <v>17.89</v>
      </c>
      <c r="H356" s="40" t="n">
        <v>20.75</v>
      </c>
      <c r="I356" s="41" t="n">
        <v>293</v>
      </c>
      <c r="J356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356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356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356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356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356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356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356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356" s="43">
        <f>(Dashboard!$C$13*tblHistory[[#This Row],[NDX S]]+Dashboard!$C$14*tblHistory[[#This Row],[SOX S]]+Dashboard!$C$15*tblHistory[[#This Row],[AIQ S]])/SUM(Dashboard!$C$13:$C$15)*100</f>
        <v/>
      </c>
      <c r="S356" s="43">
        <f>(Dashboard!$C$16*tblHistory[[#This Row],[ORCL S]]+Dashboard!$C$17*tblHistory[[#This Row],[CRWV S]])/SUM(Dashboard!$C$16:$C$17)*100</f>
        <v/>
      </c>
      <c r="T356" s="43">
        <f>(Dashboard!$C$18*tblHistory[[#This Row],[BIZD S]]+Dashboard!$C$19*tblHistory[[#This Row],[BKLN S]]+Dashboard!$C$20*tblHistory[[#This Row],[HY S]])/SUM(Dashboard!$C$18:$C$20)*100</f>
        <v/>
      </c>
      <c r="U356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356" s="43">
        <f>IFERROR(--(tblHistory[[#This Row],[Score]]&gt;=50),0)</f>
        <v/>
      </c>
      <c r="W356" s="43">
        <f>IFERROR(--AND(tblHistory[[#This Row],[Score]]&gt;=60,tblHistory[[#This Row],[BIZD S]]&gt;=0.8,tblHistory[[#This Row],[BKLN S]]&gt;=0.5),0)</f>
        <v/>
      </c>
      <c r="X356" s="43">
        <f>IFERROR(--AND(tblHistory[[#This Row],[Score]]&gt;=70,tblHistory[[#This Row],[SOX S]]&gt;=0.83,tblHistory[[#This Row],[AIQ S]]&gt;=0.8),0)</f>
        <v/>
      </c>
      <c r="Y356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356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356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356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356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357">
      <c r="A357" s="39" t="n">
        <v>45817</v>
      </c>
      <c r="B357" s="40" t="n">
        <v>23023.04</v>
      </c>
      <c r="C357" s="40" t="n">
        <v>8077.56</v>
      </c>
      <c r="D357" s="40" t="n">
        <v>39.95</v>
      </c>
      <c r="E357" s="40" t="n">
        <v>188.43</v>
      </c>
      <c r="F357" s="40" t="n">
        <v>24.65</v>
      </c>
      <c r="G357" s="40" t="n">
        <v>17.68</v>
      </c>
      <c r="H357" s="40" t="n">
        <v>20.78</v>
      </c>
      <c r="I357" s="41" t="n">
        <v>292</v>
      </c>
      <c r="J357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357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357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357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357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357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357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357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357" s="43">
        <f>(Dashboard!$C$13*tblHistory[[#This Row],[NDX S]]+Dashboard!$C$14*tblHistory[[#This Row],[SOX S]]+Dashboard!$C$15*tblHistory[[#This Row],[AIQ S]])/SUM(Dashboard!$C$13:$C$15)*100</f>
        <v/>
      </c>
      <c r="S357" s="43">
        <f>(Dashboard!$C$16*tblHistory[[#This Row],[ORCL S]]+Dashboard!$C$17*tblHistory[[#This Row],[CRWV S]])/SUM(Dashboard!$C$16:$C$17)*100</f>
        <v/>
      </c>
      <c r="T357" s="43">
        <f>(Dashboard!$C$18*tblHistory[[#This Row],[BIZD S]]+Dashboard!$C$19*tblHistory[[#This Row],[BKLN S]]+Dashboard!$C$20*tblHistory[[#This Row],[HY S]])/SUM(Dashboard!$C$18:$C$20)*100</f>
        <v/>
      </c>
      <c r="U357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357" s="43">
        <f>IFERROR(--(tblHistory[[#This Row],[Score]]&gt;=50),0)</f>
        <v/>
      </c>
      <c r="W357" s="43">
        <f>IFERROR(--AND(tblHistory[[#This Row],[Score]]&gt;=60,tblHistory[[#This Row],[BIZD S]]&gt;=0.8,tblHistory[[#This Row],[BKLN S]]&gt;=0.5),0)</f>
        <v/>
      </c>
      <c r="X357" s="43">
        <f>IFERROR(--AND(tblHistory[[#This Row],[Score]]&gt;=70,tblHistory[[#This Row],[SOX S]]&gt;=0.83,tblHistory[[#This Row],[AIQ S]]&gt;=0.8),0)</f>
        <v/>
      </c>
      <c r="Y357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357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357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357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357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358">
      <c r="A358" s="39" t="n">
        <v>45814</v>
      </c>
      <c r="B358" s="40" t="n">
        <v>22837.77</v>
      </c>
      <c r="C358" s="40" t="n">
        <v>8304.969999999999</v>
      </c>
      <c r="D358" s="40" t="n">
        <v>40.28</v>
      </c>
      <c r="E358" s="40" t="n">
        <v>190.97</v>
      </c>
      <c r="F358" s="40" t="n">
        <v>23.79</v>
      </c>
      <c r="G358" s="40" t="n">
        <v>17.58</v>
      </c>
      <c r="H358" s="40" t="n">
        <v>20.77</v>
      </c>
      <c r="I358" s="41" t="n">
        <v>294</v>
      </c>
      <c r="J358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358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358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358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358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358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358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358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358" s="43">
        <f>(Dashboard!$C$13*tblHistory[[#This Row],[NDX S]]+Dashboard!$C$14*tblHistory[[#This Row],[SOX S]]+Dashboard!$C$15*tblHistory[[#This Row],[AIQ S]])/SUM(Dashboard!$C$13:$C$15)*100</f>
        <v/>
      </c>
      <c r="S358" s="43">
        <f>(Dashboard!$C$16*tblHistory[[#This Row],[ORCL S]]+Dashboard!$C$17*tblHistory[[#This Row],[CRWV S]])/SUM(Dashboard!$C$16:$C$17)*100</f>
        <v/>
      </c>
      <c r="T358" s="43">
        <f>(Dashboard!$C$18*tblHistory[[#This Row],[BIZD S]]+Dashboard!$C$19*tblHistory[[#This Row],[BKLN S]]+Dashboard!$C$20*tblHistory[[#This Row],[HY S]])/SUM(Dashboard!$C$18:$C$20)*100</f>
        <v/>
      </c>
      <c r="U358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358" s="43">
        <f>IFERROR(--(tblHistory[[#This Row],[Score]]&gt;=50),0)</f>
        <v/>
      </c>
      <c r="W358" s="43">
        <f>IFERROR(--AND(tblHistory[[#This Row],[Score]]&gt;=60,tblHistory[[#This Row],[BIZD S]]&gt;=0.8,tblHistory[[#This Row],[BKLN S]]&gt;=0.5),0)</f>
        <v/>
      </c>
      <c r="X358" s="43">
        <f>IFERROR(--AND(tblHistory[[#This Row],[Score]]&gt;=70,tblHistory[[#This Row],[SOX S]]&gt;=0.83,tblHistory[[#This Row],[AIQ S]]&gt;=0.8),0)</f>
        <v/>
      </c>
      <c r="Y358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358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358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358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358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359">
      <c r="A359" s="39" t="n">
        <v>45813</v>
      </c>
      <c r="B359" s="40" t="n">
        <v>22917.65</v>
      </c>
      <c r="C359" s="40" t="n">
        <v>8268.25</v>
      </c>
      <c r="D359" s="40" t="n">
        <v>40.24</v>
      </c>
      <c r="E359" s="40" t="n">
        <v>194.13</v>
      </c>
      <c r="F359" s="40" t="n">
        <v>24.88</v>
      </c>
      <c r="G359" s="40" t="n">
        <v>17.61</v>
      </c>
      <c r="H359" s="40" t="n">
        <v>20.81</v>
      </c>
      <c r="I359" s="41" t="n">
        <v>297</v>
      </c>
      <c r="J359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359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359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359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359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359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359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359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359" s="43">
        <f>(Dashboard!$C$13*tblHistory[[#This Row],[NDX S]]+Dashboard!$C$14*tblHistory[[#This Row],[SOX S]]+Dashboard!$C$15*tblHistory[[#This Row],[AIQ S]])/SUM(Dashboard!$C$13:$C$15)*100</f>
        <v/>
      </c>
      <c r="S359" s="43">
        <f>(Dashboard!$C$16*tblHistory[[#This Row],[ORCL S]]+Dashboard!$C$17*tblHistory[[#This Row],[CRWV S]])/SUM(Dashboard!$C$16:$C$17)*100</f>
        <v/>
      </c>
      <c r="T359" s="43">
        <f>(Dashboard!$C$18*tblHistory[[#This Row],[BIZD S]]+Dashboard!$C$19*tblHistory[[#This Row],[BKLN S]]+Dashboard!$C$20*tblHistory[[#This Row],[HY S]])/SUM(Dashboard!$C$18:$C$20)*100</f>
        <v/>
      </c>
      <c r="U359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359" s="43">
        <f>IFERROR(--(tblHistory[[#This Row],[Score]]&gt;=50),0)</f>
        <v/>
      </c>
      <c r="W359" s="43">
        <f>IFERROR(--AND(tblHistory[[#This Row],[Score]]&gt;=60,tblHistory[[#This Row],[BIZD S]]&gt;=0.8,tblHistory[[#This Row],[BKLN S]]&gt;=0.5),0)</f>
        <v/>
      </c>
      <c r="X359" s="43">
        <f>IFERROR(--AND(tblHistory[[#This Row],[Score]]&gt;=70,tblHistory[[#This Row],[SOX S]]&gt;=0.83,tblHistory[[#This Row],[AIQ S]]&gt;=0.8),0)</f>
        <v/>
      </c>
      <c r="Y359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359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359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359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359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360">
      <c r="A360" s="39" t="n">
        <v>45812</v>
      </c>
      <c r="B360" s="40" t="n">
        <v>23001.23</v>
      </c>
      <c r="C360" s="40" t="n">
        <v>8274.1</v>
      </c>
      <c r="D360" s="40" t="n">
        <v>40.08</v>
      </c>
      <c r="E360" s="40" t="n">
        <v>191.01</v>
      </c>
      <c r="F360" s="40" t="n">
        <v>24.21</v>
      </c>
      <c r="G360" s="40" t="n">
        <v>17.6</v>
      </c>
      <c r="H360" s="40" t="n">
        <v>20.81</v>
      </c>
      <c r="I360" s="41" t="n">
        <v>297</v>
      </c>
      <c r="J360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360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360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360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360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360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360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360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360" s="43">
        <f>(Dashboard!$C$13*tblHistory[[#This Row],[NDX S]]+Dashboard!$C$14*tblHistory[[#This Row],[SOX S]]+Dashboard!$C$15*tblHistory[[#This Row],[AIQ S]])/SUM(Dashboard!$C$13:$C$15)*100</f>
        <v/>
      </c>
      <c r="S360" s="43">
        <f>(Dashboard!$C$16*tblHistory[[#This Row],[ORCL S]]+Dashboard!$C$17*tblHistory[[#This Row],[CRWV S]])/SUM(Dashboard!$C$16:$C$17)*100</f>
        <v/>
      </c>
      <c r="T360" s="43">
        <f>(Dashboard!$C$18*tblHistory[[#This Row],[BIZD S]]+Dashboard!$C$19*tblHistory[[#This Row],[BKLN S]]+Dashboard!$C$20*tblHistory[[#This Row],[HY S]])/SUM(Dashboard!$C$18:$C$20)*100</f>
        <v/>
      </c>
      <c r="U360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360" s="43">
        <f>IFERROR(--(tblHistory[[#This Row],[Score]]&gt;=50),0)</f>
        <v/>
      </c>
      <c r="W360" s="43">
        <f>IFERROR(--AND(tblHistory[[#This Row],[Score]]&gt;=60,tblHistory[[#This Row],[BIZD S]]&gt;=0.8,tblHistory[[#This Row],[BKLN S]]&gt;=0.5),0)</f>
        <v/>
      </c>
      <c r="X360" s="43">
        <f>IFERROR(--AND(tblHistory[[#This Row],[Score]]&gt;=70,tblHistory[[#This Row],[SOX S]]&gt;=0.83,tblHistory[[#This Row],[AIQ S]]&gt;=0.8),0)</f>
        <v/>
      </c>
      <c r="Y360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360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360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360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360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361">
      <c r="A361" s="39" t="n">
        <v>45811</v>
      </c>
      <c r="B361" s="40" t="n">
        <v>23461.59</v>
      </c>
      <c r="C361" s="40" t="n">
        <v>8328.629999999999</v>
      </c>
      <c r="D361" s="40" t="n">
        <v>39.86</v>
      </c>
      <c r="E361" s="40" t="n">
        <v>188.44</v>
      </c>
      <c r="F361" s="40" t="n">
        <v>23.32</v>
      </c>
      <c r="G361" s="40" t="n">
        <v>17.6</v>
      </c>
      <c r="H361" s="40" t="n">
        <v>20.85</v>
      </c>
      <c r="I361" s="41" t="n">
        <v>296</v>
      </c>
      <c r="J361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361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361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361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361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361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361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361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361" s="43">
        <f>(Dashboard!$C$13*tblHistory[[#This Row],[NDX S]]+Dashboard!$C$14*tblHistory[[#This Row],[SOX S]]+Dashboard!$C$15*tblHistory[[#This Row],[AIQ S]])/SUM(Dashboard!$C$13:$C$15)*100</f>
        <v/>
      </c>
      <c r="S361" s="43">
        <f>(Dashboard!$C$16*tblHistory[[#This Row],[ORCL S]]+Dashboard!$C$17*tblHistory[[#This Row],[CRWV S]])/SUM(Dashboard!$C$16:$C$17)*100</f>
        <v/>
      </c>
      <c r="T361" s="43">
        <f>(Dashboard!$C$18*tblHistory[[#This Row],[BIZD S]]+Dashboard!$C$19*tblHistory[[#This Row],[BKLN S]]+Dashboard!$C$20*tblHistory[[#This Row],[HY S]])/SUM(Dashboard!$C$18:$C$20)*100</f>
        <v/>
      </c>
      <c r="U361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361" s="43">
        <f>IFERROR(--(tblHistory[[#This Row],[Score]]&gt;=50),0)</f>
        <v/>
      </c>
      <c r="W361" s="43">
        <f>IFERROR(--AND(tblHistory[[#This Row],[Score]]&gt;=60,tblHistory[[#This Row],[BIZD S]]&gt;=0.8,tblHistory[[#This Row],[BKLN S]]&gt;=0.5),0)</f>
        <v/>
      </c>
      <c r="X361" s="43">
        <f>IFERROR(--AND(tblHistory[[#This Row],[Score]]&gt;=70,tblHistory[[#This Row],[SOX S]]&gt;=0.83,tblHistory[[#This Row],[AIQ S]]&gt;=0.8),0)</f>
        <v/>
      </c>
      <c r="Y361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361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361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361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361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362">
      <c r="A362" s="39" t="n">
        <v>45810</v>
      </c>
      <c r="B362" s="40" t="n">
        <v>23031.71</v>
      </c>
      <c r="C362" s="40" t="n">
        <v>8086.76</v>
      </c>
      <c r="D362" s="40" t="n">
        <v>40.15</v>
      </c>
      <c r="E362" s="40" t="n">
        <v>177.39</v>
      </c>
      <c r="F362" s="40" t="n">
        <v>24.45</v>
      </c>
      <c r="G362" s="40" t="n">
        <v>17.85</v>
      </c>
      <c r="H362" s="40" t="n">
        <v>20.84</v>
      </c>
      <c r="I362" s="41" t="n">
        <v>283</v>
      </c>
      <c r="J362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362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362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362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362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362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362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362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362" s="43">
        <f>(Dashboard!$C$13*tblHistory[[#This Row],[NDX S]]+Dashboard!$C$14*tblHistory[[#This Row],[SOX S]]+Dashboard!$C$15*tblHistory[[#This Row],[AIQ S]])/SUM(Dashboard!$C$13:$C$15)*100</f>
        <v/>
      </c>
      <c r="S362" s="43">
        <f>(Dashboard!$C$16*tblHistory[[#This Row],[ORCL S]]+Dashboard!$C$17*tblHistory[[#This Row],[CRWV S]])/SUM(Dashboard!$C$16:$C$17)*100</f>
        <v/>
      </c>
      <c r="T362" s="43">
        <f>(Dashboard!$C$18*tblHistory[[#This Row],[BIZD S]]+Dashboard!$C$19*tblHistory[[#This Row],[BKLN S]]+Dashboard!$C$20*tblHistory[[#This Row],[HY S]])/SUM(Dashboard!$C$18:$C$20)*100</f>
        <v/>
      </c>
      <c r="U362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362" s="43">
        <f>IFERROR(--(tblHistory[[#This Row],[Score]]&gt;=50),0)</f>
        <v/>
      </c>
      <c r="W362" s="43">
        <f>IFERROR(--AND(tblHistory[[#This Row],[Score]]&gt;=60,tblHistory[[#This Row],[BIZD S]]&gt;=0.8,tblHistory[[#This Row],[BKLN S]]&gt;=0.5),0)</f>
        <v/>
      </c>
      <c r="X362" s="43">
        <f>IFERROR(--AND(tblHistory[[#This Row],[Score]]&gt;=70,tblHistory[[#This Row],[SOX S]]&gt;=0.83,tblHistory[[#This Row],[AIQ S]]&gt;=0.8),0)</f>
        <v/>
      </c>
      <c r="Y362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362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362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362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362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363">
      <c r="A363" s="39" t="n">
        <v>45807</v>
      </c>
      <c r="B363" s="40" t="n">
        <v>22782.62</v>
      </c>
      <c r="C363" s="40" t="n">
        <v>7966.78</v>
      </c>
      <c r="D363" s="40" t="n">
        <v>40.42</v>
      </c>
      <c r="E363" s="40" t="n">
        <v>177.34</v>
      </c>
      <c r="F363" s="40" t="n">
        <v>25</v>
      </c>
      <c r="G363" s="40" t="n">
        <v>17.79</v>
      </c>
      <c r="H363" s="40" t="n">
        <v>20.83</v>
      </c>
      <c r="I363" s="41" t="n">
        <v>292</v>
      </c>
      <c r="J363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363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363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363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363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363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363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363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363" s="43">
        <f>(Dashboard!$C$13*tblHistory[[#This Row],[NDX S]]+Dashboard!$C$14*tblHistory[[#This Row],[SOX S]]+Dashboard!$C$15*tblHistory[[#This Row],[AIQ S]])/SUM(Dashboard!$C$13:$C$15)*100</f>
        <v/>
      </c>
      <c r="S363" s="43">
        <f>(Dashboard!$C$16*tblHistory[[#This Row],[ORCL S]]+Dashboard!$C$17*tblHistory[[#This Row],[CRWV S]])/SUM(Dashboard!$C$16:$C$17)*100</f>
        <v/>
      </c>
      <c r="T363" s="43">
        <f>(Dashboard!$C$18*tblHistory[[#This Row],[BIZD S]]+Dashboard!$C$19*tblHistory[[#This Row],[BKLN S]]+Dashboard!$C$20*tblHistory[[#This Row],[HY S]])/SUM(Dashboard!$C$18:$C$20)*100</f>
        <v/>
      </c>
      <c r="U363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363" s="43">
        <f>IFERROR(--(tblHistory[[#This Row],[Score]]&gt;=50),0)</f>
        <v/>
      </c>
      <c r="W363" s="43">
        <f>IFERROR(--AND(tblHistory[[#This Row],[Score]]&gt;=60,tblHistory[[#This Row],[BIZD S]]&gt;=0.8,tblHistory[[#This Row],[BKLN S]]&gt;=0.5),0)</f>
        <v/>
      </c>
      <c r="X363" s="43">
        <f>IFERROR(--AND(tblHistory[[#This Row],[Score]]&gt;=70,tblHistory[[#This Row],[SOX S]]&gt;=0.83,tblHistory[[#This Row],[AIQ S]]&gt;=0.8),0)</f>
        <v/>
      </c>
      <c r="Y363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363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363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363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363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364">
      <c r="A364" s="39" t="n">
        <v>45806</v>
      </c>
      <c r="B364" s="40" t="n">
        <v>22509.92</v>
      </c>
      <c r="C364" s="40" t="n">
        <v>7950.32</v>
      </c>
      <c r="D364" s="40" t="n">
        <v>41.13</v>
      </c>
      <c r="E364" s="40" t="n">
        <v>177.91</v>
      </c>
      <c r="F364" s="40" t="n">
        <v>22.85</v>
      </c>
      <c r="G364" s="40" t="n">
        <v>17.82</v>
      </c>
      <c r="H364" s="40" t="n">
        <v>20.85</v>
      </c>
      <c r="I364" s="41" t="n">
        <v>301</v>
      </c>
      <c r="J364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364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364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364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364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364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364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364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364" s="43">
        <f>(Dashboard!$C$13*tblHistory[[#This Row],[NDX S]]+Dashboard!$C$14*tblHistory[[#This Row],[SOX S]]+Dashboard!$C$15*tblHistory[[#This Row],[AIQ S]])/SUM(Dashboard!$C$13:$C$15)*100</f>
        <v/>
      </c>
      <c r="S364" s="43">
        <f>(Dashboard!$C$16*tblHistory[[#This Row],[ORCL S]]+Dashboard!$C$17*tblHistory[[#This Row],[CRWV S]])/SUM(Dashboard!$C$16:$C$17)*100</f>
        <v/>
      </c>
      <c r="T364" s="43">
        <f>(Dashboard!$C$18*tblHistory[[#This Row],[BIZD S]]+Dashboard!$C$19*tblHistory[[#This Row],[BKLN S]]+Dashboard!$C$20*tblHistory[[#This Row],[HY S]])/SUM(Dashboard!$C$18:$C$20)*100</f>
        <v/>
      </c>
      <c r="U364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364" s="43">
        <f>IFERROR(--(tblHistory[[#This Row],[Score]]&gt;=50),0)</f>
        <v/>
      </c>
      <c r="W364" s="43">
        <f>IFERROR(--AND(tblHistory[[#This Row],[Score]]&gt;=60,tblHistory[[#This Row],[BIZD S]]&gt;=0.8,tblHistory[[#This Row],[BKLN S]]&gt;=0.5),0)</f>
        <v/>
      </c>
      <c r="X364" s="43">
        <f>IFERROR(--AND(tblHistory[[#This Row],[Score]]&gt;=70,tblHistory[[#This Row],[SOX S]]&gt;=0.83,tblHistory[[#This Row],[AIQ S]]&gt;=0.8),0)</f>
        <v/>
      </c>
      <c r="Y364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364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364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364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364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365">
      <c r="A365" s="39" t="n">
        <v>45805</v>
      </c>
      <c r="B365" s="40" t="n">
        <v>22514.43</v>
      </c>
      <c r="C365" s="40" t="n">
        <v>8059.95</v>
      </c>
      <c r="D365" s="40" t="n">
        <v>41.78</v>
      </c>
      <c r="E365" s="40" t="n">
        <v>179.66</v>
      </c>
      <c r="F365" s="40" t="n">
        <v>24.33</v>
      </c>
      <c r="G365" s="40" t="n">
        <v>17.83</v>
      </c>
      <c r="H365" s="40" t="n">
        <v>20.83</v>
      </c>
      <c r="I365" s="41" t="n">
        <v>303</v>
      </c>
      <c r="J365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365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365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365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365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365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365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365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365" s="43">
        <f>(Dashboard!$C$13*tblHistory[[#This Row],[NDX S]]+Dashboard!$C$14*tblHistory[[#This Row],[SOX S]]+Dashboard!$C$15*tblHistory[[#This Row],[AIQ S]])/SUM(Dashboard!$C$13:$C$15)*100</f>
        <v/>
      </c>
      <c r="S365" s="43">
        <f>(Dashboard!$C$16*tblHistory[[#This Row],[ORCL S]]+Dashboard!$C$17*tblHistory[[#This Row],[CRWV S]])/SUM(Dashboard!$C$16:$C$17)*100</f>
        <v/>
      </c>
      <c r="T365" s="43">
        <f>(Dashboard!$C$18*tblHistory[[#This Row],[BIZD S]]+Dashboard!$C$19*tblHistory[[#This Row],[BKLN S]]+Dashboard!$C$20*tblHistory[[#This Row],[HY S]])/SUM(Dashboard!$C$18:$C$20)*100</f>
        <v/>
      </c>
      <c r="U365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365" s="43">
        <f>IFERROR(--(tblHistory[[#This Row],[Score]]&gt;=50),0)</f>
        <v/>
      </c>
      <c r="W365" s="43">
        <f>IFERROR(--AND(tblHistory[[#This Row],[Score]]&gt;=60,tblHistory[[#This Row],[BIZD S]]&gt;=0.8,tblHistory[[#This Row],[BKLN S]]&gt;=0.5),0)</f>
        <v/>
      </c>
      <c r="X365" s="43">
        <f>IFERROR(--AND(tblHistory[[#This Row],[Score]]&gt;=70,tblHistory[[#This Row],[SOX S]]&gt;=0.83,tblHistory[[#This Row],[AIQ S]]&gt;=0.8),0)</f>
        <v/>
      </c>
      <c r="Y365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365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365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365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365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366">
      <c r="A366" s="39" t="n">
        <v>45804</v>
      </c>
      <c r="B366" s="40" t="n">
        <v>22818.67</v>
      </c>
      <c r="C366" s="40" t="n">
        <v>7925.86</v>
      </c>
      <c r="D366" s="40" t="n">
        <v>42.57</v>
      </c>
      <c r="E366" s="40" t="n">
        <v>182.24</v>
      </c>
      <c r="F366" s="40" t="n">
        <v>23.17</v>
      </c>
      <c r="G366" s="40" t="n">
        <v>17.81</v>
      </c>
      <c r="H366" s="40" t="n">
        <v>20.88</v>
      </c>
      <c r="I366" s="41" t="n">
        <v>299</v>
      </c>
      <c r="J366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366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366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366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366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366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366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366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366" s="43">
        <f>(Dashboard!$C$13*tblHistory[[#This Row],[NDX S]]+Dashboard!$C$14*tblHistory[[#This Row],[SOX S]]+Dashboard!$C$15*tblHistory[[#This Row],[AIQ S]])/SUM(Dashboard!$C$13:$C$15)*100</f>
        <v/>
      </c>
      <c r="S366" s="43">
        <f>(Dashboard!$C$16*tblHistory[[#This Row],[ORCL S]]+Dashboard!$C$17*tblHistory[[#This Row],[CRWV S]])/SUM(Dashboard!$C$16:$C$17)*100</f>
        <v/>
      </c>
      <c r="T366" s="43">
        <f>(Dashboard!$C$18*tblHistory[[#This Row],[BIZD S]]+Dashboard!$C$19*tblHistory[[#This Row],[BKLN S]]+Dashboard!$C$20*tblHistory[[#This Row],[HY S]])/SUM(Dashboard!$C$18:$C$20)*100</f>
        <v/>
      </c>
      <c r="U366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366" s="43">
        <f>IFERROR(--(tblHistory[[#This Row],[Score]]&gt;=50),0)</f>
        <v/>
      </c>
      <c r="W366" s="43">
        <f>IFERROR(--AND(tblHistory[[#This Row],[Score]]&gt;=60,tblHistory[[#This Row],[BIZD S]]&gt;=0.8,tblHistory[[#This Row],[BKLN S]]&gt;=0.5),0)</f>
        <v/>
      </c>
      <c r="X366" s="43">
        <f>IFERROR(--AND(tblHistory[[#This Row],[Score]]&gt;=70,tblHistory[[#This Row],[SOX S]]&gt;=0.83,tblHistory[[#This Row],[AIQ S]]&gt;=0.8),0)</f>
        <v/>
      </c>
      <c r="Y366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366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366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366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366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367">
      <c r="A367" s="39" t="n">
        <v>45803</v>
      </c>
      <c r="B367" s="40" t="n">
        <v>22530.64</v>
      </c>
      <c r="C367" s="40" t="n">
        <v>7975.73</v>
      </c>
      <c r="D367" s="40" t="n">
        <v>41.97</v>
      </c>
      <c r="E367" s="40" t="n">
        <v>184.17</v>
      </c>
      <c r="F367" s="40" t="n">
        <v>24.01</v>
      </c>
      <c r="G367" s="40" t="n">
        <v>18.02</v>
      </c>
      <c r="H367" s="40" t="n">
        <v>20.84</v>
      </c>
      <c r="I367" s="41" t="n">
        <v>301</v>
      </c>
      <c r="J367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367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367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367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367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367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367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367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367" s="43">
        <f>(Dashboard!$C$13*tblHistory[[#This Row],[NDX S]]+Dashboard!$C$14*tblHistory[[#This Row],[SOX S]]+Dashboard!$C$15*tblHistory[[#This Row],[AIQ S]])/SUM(Dashboard!$C$13:$C$15)*100</f>
        <v/>
      </c>
      <c r="S367" s="43">
        <f>(Dashboard!$C$16*tblHistory[[#This Row],[ORCL S]]+Dashboard!$C$17*tblHistory[[#This Row],[CRWV S]])/SUM(Dashboard!$C$16:$C$17)*100</f>
        <v/>
      </c>
      <c r="T367" s="43">
        <f>(Dashboard!$C$18*tblHistory[[#This Row],[BIZD S]]+Dashboard!$C$19*tblHistory[[#This Row],[BKLN S]]+Dashboard!$C$20*tblHistory[[#This Row],[HY S]])/SUM(Dashboard!$C$18:$C$20)*100</f>
        <v/>
      </c>
      <c r="U367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367" s="43">
        <f>IFERROR(--(tblHistory[[#This Row],[Score]]&gt;=50),0)</f>
        <v/>
      </c>
      <c r="W367" s="43">
        <f>IFERROR(--AND(tblHistory[[#This Row],[Score]]&gt;=60,tblHistory[[#This Row],[BIZD S]]&gt;=0.8,tblHistory[[#This Row],[BKLN S]]&gt;=0.5),0)</f>
        <v/>
      </c>
      <c r="X367" s="43">
        <f>IFERROR(--AND(tblHistory[[#This Row],[Score]]&gt;=70,tblHistory[[#This Row],[SOX S]]&gt;=0.83,tblHistory[[#This Row],[AIQ S]]&gt;=0.8),0)</f>
        <v/>
      </c>
      <c r="Y367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367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367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367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367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368">
      <c r="A368" s="39" t="n">
        <v>45800</v>
      </c>
      <c r="B368" s="40" t="n">
        <v>22649.07</v>
      </c>
      <c r="C368" s="40" t="n">
        <v>7762.3</v>
      </c>
      <c r="D368" s="40" t="n">
        <v>41.85</v>
      </c>
      <c r="E368" s="40" t="n">
        <v>183.52</v>
      </c>
      <c r="F368" s="40" t="n">
        <v>24.97</v>
      </c>
      <c r="G368" s="40" t="n">
        <v>18.1</v>
      </c>
      <c r="H368" s="40" t="n">
        <v>20.83</v>
      </c>
      <c r="I368" s="41" t="n">
        <v>300</v>
      </c>
      <c r="J368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368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368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368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368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368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368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368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368" s="43">
        <f>(Dashboard!$C$13*tblHistory[[#This Row],[NDX S]]+Dashboard!$C$14*tblHistory[[#This Row],[SOX S]]+Dashboard!$C$15*tblHistory[[#This Row],[AIQ S]])/SUM(Dashboard!$C$13:$C$15)*100</f>
        <v/>
      </c>
      <c r="S368" s="43">
        <f>(Dashboard!$C$16*tblHistory[[#This Row],[ORCL S]]+Dashboard!$C$17*tblHistory[[#This Row],[CRWV S]])/SUM(Dashboard!$C$16:$C$17)*100</f>
        <v/>
      </c>
      <c r="T368" s="43">
        <f>(Dashboard!$C$18*tblHistory[[#This Row],[BIZD S]]+Dashboard!$C$19*tblHistory[[#This Row],[BKLN S]]+Dashboard!$C$20*tblHistory[[#This Row],[HY S]])/SUM(Dashboard!$C$18:$C$20)*100</f>
        <v/>
      </c>
      <c r="U368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368" s="43">
        <f>IFERROR(--(tblHistory[[#This Row],[Score]]&gt;=50),0)</f>
        <v/>
      </c>
      <c r="W368" s="43">
        <f>IFERROR(--AND(tblHistory[[#This Row],[Score]]&gt;=60,tblHistory[[#This Row],[BIZD S]]&gt;=0.8,tblHistory[[#This Row],[BKLN S]]&gt;=0.5),0)</f>
        <v/>
      </c>
      <c r="X368" s="43">
        <f>IFERROR(--AND(tblHistory[[#This Row],[Score]]&gt;=70,tblHistory[[#This Row],[SOX S]]&gt;=0.83,tblHistory[[#This Row],[AIQ S]]&gt;=0.8),0)</f>
        <v/>
      </c>
      <c r="Y368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368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368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368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368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369">
      <c r="A369" s="39" t="n">
        <v>45799</v>
      </c>
      <c r="B369" s="40" t="n">
        <v>23388.77</v>
      </c>
      <c r="C369" s="40" t="n">
        <v>7603.14</v>
      </c>
      <c r="D369" s="40" t="n">
        <v>41.71</v>
      </c>
      <c r="E369" s="40" t="n">
        <v>180.2</v>
      </c>
      <c r="F369" s="40" t="n">
        <v>25.36</v>
      </c>
      <c r="G369" s="40" t="n">
        <v>18.21</v>
      </c>
      <c r="H369" s="40" t="n">
        <v>20.79</v>
      </c>
      <c r="I369" s="41" t="n">
        <v>302</v>
      </c>
      <c r="J369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369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369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369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369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369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369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369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369" s="43">
        <f>(Dashboard!$C$13*tblHistory[[#This Row],[NDX S]]+Dashboard!$C$14*tblHistory[[#This Row],[SOX S]]+Dashboard!$C$15*tblHistory[[#This Row],[AIQ S]])/SUM(Dashboard!$C$13:$C$15)*100</f>
        <v/>
      </c>
      <c r="S369" s="43">
        <f>(Dashboard!$C$16*tblHistory[[#This Row],[ORCL S]]+Dashboard!$C$17*tblHistory[[#This Row],[CRWV S]])/SUM(Dashboard!$C$16:$C$17)*100</f>
        <v/>
      </c>
      <c r="T369" s="43">
        <f>(Dashboard!$C$18*tblHistory[[#This Row],[BIZD S]]+Dashboard!$C$19*tblHistory[[#This Row],[BKLN S]]+Dashboard!$C$20*tblHistory[[#This Row],[HY S]])/SUM(Dashboard!$C$18:$C$20)*100</f>
        <v/>
      </c>
      <c r="U369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369" s="43">
        <f>IFERROR(--(tblHistory[[#This Row],[Score]]&gt;=50),0)</f>
        <v/>
      </c>
      <c r="W369" s="43">
        <f>IFERROR(--AND(tblHistory[[#This Row],[Score]]&gt;=60,tblHistory[[#This Row],[BIZD S]]&gt;=0.8,tblHistory[[#This Row],[BKLN S]]&gt;=0.5),0)</f>
        <v/>
      </c>
      <c r="X369" s="43">
        <f>IFERROR(--AND(tblHistory[[#This Row],[Score]]&gt;=70,tblHistory[[#This Row],[SOX S]]&gt;=0.83,tblHistory[[#This Row],[AIQ S]]&gt;=0.8),0)</f>
        <v/>
      </c>
      <c r="Y369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369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369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369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369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370">
      <c r="A370" s="39" t="n">
        <v>45798</v>
      </c>
      <c r="B370" s="40" t="n">
        <v>23392.35</v>
      </c>
      <c r="C370" s="40" t="n">
        <v>7649.02</v>
      </c>
      <c r="D370" s="40" t="n">
        <v>41.46</v>
      </c>
      <c r="E370" s="40" t="n">
        <v>176.09</v>
      </c>
      <c r="F370" s="40" t="n">
        <v>25.46</v>
      </c>
      <c r="G370" s="40" t="n">
        <v>18.1</v>
      </c>
      <c r="H370" s="40" t="n">
        <v>20.8</v>
      </c>
      <c r="I370" s="41" t="n">
        <v>303</v>
      </c>
      <c r="J370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370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370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370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370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370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370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370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370" s="43">
        <f>(Dashboard!$C$13*tblHistory[[#This Row],[NDX S]]+Dashboard!$C$14*tblHistory[[#This Row],[SOX S]]+Dashboard!$C$15*tblHistory[[#This Row],[AIQ S]])/SUM(Dashboard!$C$13:$C$15)*100</f>
        <v/>
      </c>
      <c r="S370" s="43">
        <f>(Dashboard!$C$16*tblHistory[[#This Row],[ORCL S]]+Dashboard!$C$17*tblHistory[[#This Row],[CRWV S]])/SUM(Dashboard!$C$16:$C$17)*100</f>
        <v/>
      </c>
      <c r="T370" s="43">
        <f>(Dashboard!$C$18*tblHistory[[#This Row],[BIZD S]]+Dashboard!$C$19*tblHistory[[#This Row],[BKLN S]]+Dashboard!$C$20*tblHistory[[#This Row],[HY S]])/SUM(Dashboard!$C$18:$C$20)*100</f>
        <v/>
      </c>
      <c r="U370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370" s="43">
        <f>IFERROR(--(tblHistory[[#This Row],[Score]]&gt;=50),0)</f>
        <v/>
      </c>
      <c r="W370" s="43">
        <f>IFERROR(--AND(tblHistory[[#This Row],[Score]]&gt;=60,tblHistory[[#This Row],[BIZD S]]&gt;=0.8,tblHistory[[#This Row],[BKLN S]]&gt;=0.5),0)</f>
        <v/>
      </c>
      <c r="X370" s="43">
        <f>IFERROR(--AND(tblHistory[[#This Row],[Score]]&gt;=70,tblHistory[[#This Row],[SOX S]]&gt;=0.83,tblHistory[[#This Row],[AIQ S]]&gt;=0.8),0)</f>
        <v/>
      </c>
      <c r="Y370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370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370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370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370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371">
      <c r="A371" s="39" t="n">
        <v>45797</v>
      </c>
      <c r="B371" s="40" t="n">
        <v>23441.69</v>
      </c>
      <c r="C371" s="40" t="n">
        <v>7656.17</v>
      </c>
      <c r="D371" s="40" t="n">
        <v>41.15</v>
      </c>
      <c r="E371" s="40" t="n">
        <v>176.01</v>
      </c>
      <c r="F371" s="40" t="n">
        <v>26.82</v>
      </c>
      <c r="G371" s="40" t="n">
        <v>18.05</v>
      </c>
      <c r="H371" s="40" t="n">
        <v>20.83</v>
      </c>
      <c r="I371" s="41" t="n">
        <v>296</v>
      </c>
      <c r="J371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371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371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371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371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371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371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371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371" s="43">
        <f>(Dashboard!$C$13*tblHistory[[#This Row],[NDX S]]+Dashboard!$C$14*tblHistory[[#This Row],[SOX S]]+Dashboard!$C$15*tblHistory[[#This Row],[AIQ S]])/SUM(Dashboard!$C$13:$C$15)*100</f>
        <v/>
      </c>
      <c r="S371" s="43">
        <f>(Dashboard!$C$16*tblHistory[[#This Row],[ORCL S]]+Dashboard!$C$17*tblHistory[[#This Row],[CRWV S]])/SUM(Dashboard!$C$16:$C$17)*100</f>
        <v/>
      </c>
      <c r="T371" s="43">
        <f>(Dashboard!$C$18*tblHistory[[#This Row],[BIZD S]]+Dashboard!$C$19*tblHistory[[#This Row],[BKLN S]]+Dashboard!$C$20*tblHistory[[#This Row],[HY S]])/SUM(Dashboard!$C$18:$C$20)*100</f>
        <v/>
      </c>
      <c r="U371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371" s="43">
        <f>IFERROR(--(tblHistory[[#This Row],[Score]]&gt;=50),0)</f>
        <v/>
      </c>
      <c r="W371" s="43">
        <f>IFERROR(--AND(tblHistory[[#This Row],[Score]]&gt;=60,tblHistory[[#This Row],[BIZD S]]&gt;=0.8,tblHistory[[#This Row],[BKLN S]]&gt;=0.5),0)</f>
        <v/>
      </c>
      <c r="X371" s="43">
        <f>IFERROR(--AND(tblHistory[[#This Row],[Score]]&gt;=70,tblHistory[[#This Row],[SOX S]]&gt;=0.83,tblHistory[[#This Row],[AIQ S]]&gt;=0.8),0)</f>
        <v/>
      </c>
      <c r="Y371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371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371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371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371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372">
      <c r="A372" s="39" t="n">
        <v>45796</v>
      </c>
      <c r="B372" s="40" t="n">
        <v>23455.6</v>
      </c>
      <c r="C372" s="40" t="n">
        <v>7667.81</v>
      </c>
      <c r="D372" s="40" t="n">
        <v>41.79</v>
      </c>
      <c r="E372" s="40" t="n">
        <v>172.5</v>
      </c>
      <c r="F372" s="40" t="n">
        <v>27.82</v>
      </c>
      <c r="G372" s="40" t="n">
        <v>18.1</v>
      </c>
      <c r="H372" s="40" t="n">
        <v>20.87</v>
      </c>
      <c r="I372" s="41" t="n">
        <v>304</v>
      </c>
      <c r="J372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372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372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372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372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372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372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372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372" s="43">
        <f>(Dashboard!$C$13*tblHistory[[#This Row],[NDX S]]+Dashboard!$C$14*tblHistory[[#This Row],[SOX S]]+Dashboard!$C$15*tblHistory[[#This Row],[AIQ S]])/SUM(Dashboard!$C$13:$C$15)*100</f>
        <v/>
      </c>
      <c r="S372" s="43">
        <f>(Dashboard!$C$16*tblHistory[[#This Row],[ORCL S]]+Dashboard!$C$17*tblHistory[[#This Row],[CRWV S]])/SUM(Dashboard!$C$16:$C$17)*100</f>
        <v/>
      </c>
      <c r="T372" s="43">
        <f>(Dashboard!$C$18*tblHistory[[#This Row],[BIZD S]]+Dashboard!$C$19*tblHistory[[#This Row],[BKLN S]]+Dashboard!$C$20*tblHistory[[#This Row],[HY S]])/SUM(Dashboard!$C$18:$C$20)*100</f>
        <v/>
      </c>
      <c r="U372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372" s="43">
        <f>IFERROR(--(tblHistory[[#This Row],[Score]]&gt;=50),0)</f>
        <v/>
      </c>
      <c r="W372" s="43">
        <f>IFERROR(--AND(tblHistory[[#This Row],[Score]]&gt;=60,tblHistory[[#This Row],[BIZD S]]&gt;=0.8,tblHistory[[#This Row],[BKLN S]]&gt;=0.5),0)</f>
        <v/>
      </c>
      <c r="X372" s="43">
        <f>IFERROR(--AND(tblHistory[[#This Row],[Score]]&gt;=70,tblHistory[[#This Row],[SOX S]]&gt;=0.83,tblHistory[[#This Row],[AIQ S]]&gt;=0.8),0)</f>
        <v/>
      </c>
      <c r="Y372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372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372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372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372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373">
      <c r="A373" s="39" t="n">
        <v>45793</v>
      </c>
      <c r="B373" s="40" t="n">
        <v>23597.96</v>
      </c>
      <c r="C373" s="40" t="n">
        <v>7595.76</v>
      </c>
      <c r="D373" s="40" t="n">
        <v>40.66</v>
      </c>
      <c r="E373" s="40" t="n">
        <v>171.52</v>
      </c>
      <c r="F373" s="40" t="n">
        <v>32.46</v>
      </c>
      <c r="G373" s="40" t="n">
        <v>17.91</v>
      </c>
      <c r="H373" s="40" t="n">
        <v>20.84</v>
      </c>
      <c r="I373" s="41" t="n">
        <v>303</v>
      </c>
      <c r="J373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373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373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373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373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373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373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373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373" s="43">
        <f>(Dashboard!$C$13*tblHistory[[#This Row],[NDX S]]+Dashboard!$C$14*tblHistory[[#This Row],[SOX S]]+Dashboard!$C$15*tblHistory[[#This Row],[AIQ S]])/SUM(Dashboard!$C$13:$C$15)*100</f>
        <v/>
      </c>
      <c r="S373" s="43">
        <f>(Dashboard!$C$16*tblHistory[[#This Row],[ORCL S]]+Dashboard!$C$17*tblHistory[[#This Row],[CRWV S]])/SUM(Dashboard!$C$16:$C$17)*100</f>
        <v/>
      </c>
      <c r="T373" s="43">
        <f>(Dashboard!$C$18*tblHistory[[#This Row],[BIZD S]]+Dashboard!$C$19*tblHistory[[#This Row],[BKLN S]]+Dashboard!$C$20*tblHistory[[#This Row],[HY S]])/SUM(Dashboard!$C$18:$C$20)*100</f>
        <v/>
      </c>
      <c r="U373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373" s="43">
        <f>IFERROR(--(tblHistory[[#This Row],[Score]]&gt;=50),0)</f>
        <v/>
      </c>
      <c r="W373" s="43">
        <f>IFERROR(--AND(tblHistory[[#This Row],[Score]]&gt;=60,tblHistory[[#This Row],[BIZD S]]&gt;=0.8,tblHistory[[#This Row],[BKLN S]]&gt;=0.5),0)</f>
        <v/>
      </c>
      <c r="X373" s="43">
        <f>IFERROR(--AND(tblHistory[[#This Row],[Score]]&gt;=70,tblHistory[[#This Row],[SOX S]]&gt;=0.83,tblHistory[[#This Row],[AIQ S]]&gt;=0.8),0)</f>
        <v/>
      </c>
      <c r="Y373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373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373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373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373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374">
      <c r="A374" s="39" t="n">
        <v>45792</v>
      </c>
      <c r="B374" s="40" t="n">
        <v>23483.51</v>
      </c>
      <c r="C374" s="40" t="n">
        <v>7669.11</v>
      </c>
      <c r="D374" s="40" t="n">
        <v>40.21</v>
      </c>
      <c r="E374" s="40" t="n">
        <v>170.77</v>
      </c>
      <c r="F374" s="40" t="n">
        <v>33.63</v>
      </c>
      <c r="G374" s="40" t="n">
        <v>17.95</v>
      </c>
      <c r="H374" s="40" t="n">
        <v>20.81</v>
      </c>
      <c r="I374" s="41" t="n">
        <v>299</v>
      </c>
      <c r="J374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374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374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374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374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374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374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374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374" s="43">
        <f>(Dashboard!$C$13*tblHistory[[#This Row],[NDX S]]+Dashboard!$C$14*tblHistory[[#This Row],[SOX S]]+Dashboard!$C$15*tblHistory[[#This Row],[AIQ S]])/SUM(Dashboard!$C$13:$C$15)*100</f>
        <v/>
      </c>
      <c r="S374" s="43">
        <f>(Dashboard!$C$16*tblHistory[[#This Row],[ORCL S]]+Dashboard!$C$17*tblHistory[[#This Row],[CRWV S]])/SUM(Dashboard!$C$16:$C$17)*100</f>
        <v/>
      </c>
      <c r="T374" s="43">
        <f>(Dashboard!$C$18*tblHistory[[#This Row],[BIZD S]]+Dashboard!$C$19*tblHistory[[#This Row],[BKLN S]]+Dashboard!$C$20*tblHistory[[#This Row],[HY S]])/SUM(Dashboard!$C$18:$C$20)*100</f>
        <v/>
      </c>
      <c r="U374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374" s="43">
        <f>IFERROR(--(tblHistory[[#This Row],[Score]]&gt;=50),0)</f>
        <v/>
      </c>
      <c r="W374" s="43">
        <f>IFERROR(--AND(tblHistory[[#This Row],[Score]]&gt;=60,tblHistory[[#This Row],[BIZD S]]&gt;=0.8,tblHistory[[#This Row],[BKLN S]]&gt;=0.5),0)</f>
        <v/>
      </c>
      <c r="X374" s="43">
        <f>IFERROR(--AND(tblHistory[[#This Row],[Score]]&gt;=70,tblHistory[[#This Row],[SOX S]]&gt;=0.83,tblHistory[[#This Row],[AIQ S]]&gt;=0.8),0)</f>
        <v/>
      </c>
      <c r="Y374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374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374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374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374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375">
      <c r="A375" s="39" t="n">
        <v>45791</v>
      </c>
      <c r="B375" s="40" t="n">
        <v>22794.93</v>
      </c>
      <c r="C375" s="40" t="n">
        <v>7693.25</v>
      </c>
      <c r="D375" s="40" t="n">
        <v>39.23</v>
      </c>
      <c r="E375" s="40" t="n">
        <v>168.29</v>
      </c>
      <c r="F375" s="40" t="n">
        <v>31.35</v>
      </c>
      <c r="G375" s="40" t="n">
        <v>17.81</v>
      </c>
      <c r="H375" s="40" t="n">
        <v>20.82</v>
      </c>
      <c r="I375" s="41" t="n">
        <v>298</v>
      </c>
      <c r="J375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375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375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375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375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375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375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375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375" s="43">
        <f>(Dashboard!$C$13*tblHistory[[#This Row],[NDX S]]+Dashboard!$C$14*tblHistory[[#This Row],[SOX S]]+Dashboard!$C$15*tblHistory[[#This Row],[AIQ S]])/SUM(Dashboard!$C$13:$C$15)*100</f>
        <v/>
      </c>
      <c r="S375" s="43">
        <f>(Dashboard!$C$16*tblHistory[[#This Row],[ORCL S]]+Dashboard!$C$17*tblHistory[[#This Row],[CRWV S]])/SUM(Dashboard!$C$16:$C$17)*100</f>
        <v/>
      </c>
      <c r="T375" s="43">
        <f>(Dashboard!$C$18*tblHistory[[#This Row],[BIZD S]]+Dashboard!$C$19*tblHistory[[#This Row],[BKLN S]]+Dashboard!$C$20*tblHistory[[#This Row],[HY S]])/SUM(Dashboard!$C$18:$C$20)*100</f>
        <v/>
      </c>
      <c r="U375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375" s="43">
        <f>IFERROR(--(tblHistory[[#This Row],[Score]]&gt;=50),0)</f>
        <v/>
      </c>
      <c r="W375" s="43">
        <f>IFERROR(--AND(tblHistory[[#This Row],[Score]]&gt;=60,tblHistory[[#This Row],[BIZD S]]&gt;=0.8,tblHistory[[#This Row],[BKLN S]]&gt;=0.5),0)</f>
        <v/>
      </c>
      <c r="X375" s="43">
        <f>IFERROR(--AND(tblHistory[[#This Row],[Score]]&gt;=70,tblHistory[[#This Row],[SOX S]]&gt;=0.83,tblHistory[[#This Row],[AIQ S]]&gt;=0.8),0)</f>
        <v/>
      </c>
      <c r="Y375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375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375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375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375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376">
      <c r="A376" s="39" t="n">
        <v>45790</v>
      </c>
      <c r="B376" s="40" t="n">
        <v>22924.42</v>
      </c>
      <c r="C376" s="40" t="n">
        <v>7881.15</v>
      </c>
      <c r="D376" s="40" t="n">
        <v>40.2</v>
      </c>
      <c r="E376" s="40" t="n">
        <v>171.5</v>
      </c>
      <c r="F376" s="40" t="n">
        <v>31.95</v>
      </c>
      <c r="G376" s="40" t="n">
        <v>17.74</v>
      </c>
      <c r="H376" s="40" t="n">
        <v>20.79</v>
      </c>
      <c r="I376" s="41" t="n">
        <v>302</v>
      </c>
      <c r="J376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376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376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376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376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376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376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376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376" s="43">
        <f>(Dashboard!$C$13*tblHistory[[#This Row],[NDX S]]+Dashboard!$C$14*tblHistory[[#This Row],[SOX S]]+Dashboard!$C$15*tblHistory[[#This Row],[AIQ S]])/SUM(Dashboard!$C$13:$C$15)*100</f>
        <v/>
      </c>
      <c r="S376" s="43">
        <f>(Dashboard!$C$16*tblHistory[[#This Row],[ORCL S]]+Dashboard!$C$17*tblHistory[[#This Row],[CRWV S]])/SUM(Dashboard!$C$16:$C$17)*100</f>
        <v/>
      </c>
      <c r="T376" s="43">
        <f>(Dashboard!$C$18*tblHistory[[#This Row],[BIZD S]]+Dashboard!$C$19*tblHistory[[#This Row],[BKLN S]]+Dashboard!$C$20*tblHistory[[#This Row],[HY S]])/SUM(Dashboard!$C$18:$C$20)*100</f>
        <v/>
      </c>
      <c r="U376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376" s="43">
        <f>IFERROR(--(tblHistory[[#This Row],[Score]]&gt;=50),0)</f>
        <v/>
      </c>
      <c r="W376" s="43">
        <f>IFERROR(--AND(tblHistory[[#This Row],[Score]]&gt;=60,tblHistory[[#This Row],[BIZD S]]&gt;=0.8,tblHistory[[#This Row],[BKLN S]]&gt;=0.5),0)</f>
        <v/>
      </c>
      <c r="X376" s="43">
        <f>IFERROR(--AND(tblHistory[[#This Row],[Score]]&gt;=70,tblHistory[[#This Row],[SOX S]]&gt;=0.83,tblHistory[[#This Row],[AIQ S]]&gt;=0.8),0)</f>
        <v/>
      </c>
      <c r="Y376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376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376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376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376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377">
      <c r="A377" s="39" t="n">
        <v>45789</v>
      </c>
      <c r="B377" s="40" t="n">
        <v>22833.23</v>
      </c>
      <c r="C377" s="40" t="n">
        <v>7838.7</v>
      </c>
      <c r="D377" s="40" t="n">
        <v>39.71</v>
      </c>
      <c r="E377" s="40" t="n">
        <v>168.05</v>
      </c>
      <c r="F377" s="40" t="n">
        <v>33.47</v>
      </c>
      <c r="G377" s="40" t="n">
        <v>17.6</v>
      </c>
      <c r="H377" s="40" t="n">
        <v>20.79</v>
      </c>
      <c r="I377" s="41" t="n">
        <v>307</v>
      </c>
      <c r="J377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377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377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377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377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377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377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377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377" s="43">
        <f>(Dashboard!$C$13*tblHistory[[#This Row],[NDX S]]+Dashboard!$C$14*tblHistory[[#This Row],[SOX S]]+Dashboard!$C$15*tblHistory[[#This Row],[AIQ S]])/SUM(Dashboard!$C$13:$C$15)*100</f>
        <v/>
      </c>
      <c r="S377" s="43">
        <f>(Dashboard!$C$16*tblHistory[[#This Row],[ORCL S]]+Dashboard!$C$17*tblHistory[[#This Row],[CRWV S]])/SUM(Dashboard!$C$16:$C$17)*100</f>
        <v/>
      </c>
      <c r="T377" s="43">
        <f>(Dashboard!$C$18*tblHistory[[#This Row],[BIZD S]]+Dashboard!$C$19*tblHistory[[#This Row],[BKLN S]]+Dashboard!$C$20*tblHistory[[#This Row],[HY S]])/SUM(Dashboard!$C$18:$C$20)*100</f>
        <v/>
      </c>
      <c r="U377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377" s="43">
        <f>IFERROR(--(tblHistory[[#This Row],[Score]]&gt;=50),0)</f>
        <v/>
      </c>
      <c r="W377" s="43">
        <f>IFERROR(--AND(tblHistory[[#This Row],[Score]]&gt;=60,tblHistory[[#This Row],[BIZD S]]&gt;=0.8,tblHistory[[#This Row],[BKLN S]]&gt;=0.5),0)</f>
        <v/>
      </c>
      <c r="X377" s="43">
        <f>IFERROR(--AND(tblHistory[[#This Row],[Score]]&gt;=70,tblHistory[[#This Row],[SOX S]]&gt;=0.83,tblHistory[[#This Row],[AIQ S]]&gt;=0.8),0)</f>
        <v/>
      </c>
      <c r="Y377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377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377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377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377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378">
      <c r="A378" s="39" t="n">
        <v>45786</v>
      </c>
      <c r="B378" s="40" t="n">
        <v>22640.84</v>
      </c>
      <c r="C378" s="40" t="n">
        <v>7790.02</v>
      </c>
      <c r="D378" s="40" t="n">
        <v>38.97</v>
      </c>
      <c r="E378" s="40" t="n">
        <v>170.75</v>
      </c>
      <c r="F378" s="40" t="n">
        <v>33.37</v>
      </c>
      <c r="G378" s="40" t="n">
        <v>17.43</v>
      </c>
      <c r="H378" s="40" t="n">
        <v>20.79</v>
      </c>
      <c r="I378" s="41" t="n">
        <v>309</v>
      </c>
      <c r="J378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378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378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378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378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378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378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378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378" s="43">
        <f>(Dashboard!$C$13*tblHistory[[#This Row],[NDX S]]+Dashboard!$C$14*tblHistory[[#This Row],[SOX S]]+Dashboard!$C$15*tblHistory[[#This Row],[AIQ S]])/SUM(Dashboard!$C$13:$C$15)*100</f>
        <v/>
      </c>
      <c r="S378" s="43">
        <f>(Dashboard!$C$16*tblHistory[[#This Row],[ORCL S]]+Dashboard!$C$17*tblHistory[[#This Row],[CRWV S]])/SUM(Dashboard!$C$16:$C$17)*100</f>
        <v/>
      </c>
      <c r="T378" s="43">
        <f>(Dashboard!$C$18*tblHistory[[#This Row],[BIZD S]]+Dashboard!$C$19*tblHistory[[#This Row],[BKLN S]]+Dashboard!$C$20*tblHistory[[#This Row],[HY S]])/SUM(Dashboard!$C$18:$C$20)*100</f>
        <v/>
      </c>
      <c r="U378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378" s="43">
        <f>IFERROR(--(tblHistory[[#This Row],[Score]]&gt;=50),0)</f>
        <v/>
      </c>
      <c r="W378" s="43">
        <f>IFERROR(--AND(tblHistory[[#This Row],[Score]]&gt;=60,tblHistory[[#This Row],[BIZD S]]&gt;=0.8,tblHistory[[#This Row],[BKLN S]]&gt;=0.5),0)</f>
        <v/>
      </c>
      <c r="X378" s="43">
        <f>IFERROR(--AND(tblHistory[[#This Row],[Score]]&gt;=70,tblHistory[[#This Row],[SOX S]]&gt;=0.83,tblHistory[[#This Row],[AIQ S]]&gt;=0.8),0)</f>
        <v/>
      </c>
      <c r="Y378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378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378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378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378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379">
      <c r="A379" s="39" t="n">
        <v>45785</v>
      </c>
      <c r="B379" s="40" t="n">
        <v>22744.63</v>
      </c>
      <c r="C379" s="40" t="n">
        <v>7959.56</v>
      </c>
      <c r="D379" s="40" t="n">
        <v>39.56</v>
      </c>
      <c r="E379" s="40" t="n">
        <v>165.88</v>
      </c>
      <c r="F379" s="40" t="n">
        <v>32.84</v>
      </c>
      <c r="G379" s="40" t="n">
        <v>17.41</v>
      </c>
      <c r="H379" s="40" t="n">
        <v>20.68</v>
      </c>
      <c r="I379" s="41" t="n">
        <v>308</v>
      </c>
      <c r="J379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379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379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379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379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379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379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379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379" s="43">
        <f>(Dashboard!$C$13*tblHistory[[#This Row],[NDX S]]+Dashboard!$C$14*tblHistory[[#This Row],[SOX S]]+Dashboard!$C$15*tblHistory[[#This Row],[AIQ S]])/SUM(Dashboard!$C$13:$C$15)*100</f>
        <v/>
      </c>
      <c r="S379" s="43">
        <f>(Dashboard!$C$16*tblHistory[[#This Row],[ORCL S]]+Dashboard!$C$17*tblHistory[[#This Row],[CRWV S]])/SUM(Dashboard!$C$16:$C$17)*100</f>
        <v/>
      </c>
      <c r="T379" s="43">
        <f>(Dashboard!$C$18*tblHistory[[#This Row],[BIZD S]]+Dashboard!$C$19*tblHistory[[#This Row],[BKLN S]]+Dashboard!$C$20*tblHistory[[#This Row],[HY S]])/SUM(Dashboard!$C$18:$C$20)*100</f>
        <v/>
      </c>
      <c r="U379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379" s="43">
        <f>IFERROR(--(tblHistory[[#This Row],[Score]]&gt;=50),0)</f>
        <v/>
      </c>
      <c r="W379" s="43">
        <f>IFERROR(--AND(tblHistory[[#This Row],[Score]]&gt;=60,tblHistory[[#This Row],[BIZD S]]&gt;=0.8,tblHistory[[#This Row],[BKLN S]]&gt;=0.5),0)</f>
        <v/>
      </c>
      <c r="X379" s="43">
        <f>IFERROR(--AND(tblHistory[[#This Row],[Score]]&gt;=70,tblHistory[[#This Row],[SOX S]]&gt;=0.83,tblHistory[[#This Row],[AIQ S]]&gt;=0.8),0)</f>
        <v/>
      </c>
      <c r="Y379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379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379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379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379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380">
      <c r="A380" s="39" t="n">
        <v>45784</v>
      </c>
      <c r="B380" s="40" t="n">
        <v>22666</v>
      </c>
      <c r="C380" s="40" t="n">
        <v>8108.82</v>
      </c>
      <c r="D380" s="40" t="n">
        <v>39.27</v>
      </c>
      <c r="E380" s="40" t="n">
        <v>163.58</v>
      </c>
      <c r="F380" s="40" t="n">
        <v>31.36</v>
      </c>
      <c r="G380" s="40" t="n">
        <v>17.39</v>
      </c>
      <c r="H380" s="40" t="n">
        <v>20.64</v>
      </c>
      <c r="I380" s="41" t="n">
        <v>302</v>
      </c>
      <c r="J380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380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380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380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380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380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380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380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380" s="43">
        <f>(Dashboard!$C$13*tblHistory[[#This Row],[NDX S]]+Dashboard!$C$14*tblHistory[[#This Row],[SOX S]]+Dashboard!$C$15*tblHistory[[#This Row],[AIQ S]])/SUM(Dashboard!$C$13:$C$15)*100</f>
        <v/>
      </c>
      <c r="S380" s="43">
        <f>(Dashboard!$C$16*tblHistory[[#This Row],[ORCL S]]+Dashboard!$C$17*tblHistory[[#This Row],[CRWV S]])/SUM(Dashboard!$C$16:$C$17)*100</f>
        <v/>
      </c>
      <c r="T380" s="43">
        <f>(Dashboard!$C$18*tblHistory[[#This Row],[BIZD S]]+Dashboard!$C$19*tblHistory[[#This Row],[BKLN S]]+Dashboard!$C$20*tblHistory[[#This Row],[HY S]])/SUM(Dashboard!$C$18:$C$20)*100</f>
        <v/>
      </c>
      <c r="U380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380" s="43">
        <f>IFERROR(--(tblHistory[[#This Row],[Score]]&gt;=50),0)</f>
        <v/>
      </c>
      <c r="W380" s="43">
        <f>IFERROR(--AND(tblHistory[[#This Row],[Score]]&gt;=60,tblHistory[[#This Row],[BIZD S]]&gt;=0.8,tblHistory[[#This Row],[BKLN S]]&gt;=0.5),0)</f>
        <v/>
      </c>
      <c r="X380" s="43">
        <f>IFERROR(--AND(tblHistory[[#This Row],[Score]]&gt;=70,tblHistory[[#This Row],[SOX S]]&gt;=0.83,tblHistory[[#This Row],[AIQ S]]&gt;=0.8),0)</f>
        <v/>
      </c>
      <c r="Y380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380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380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380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380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381">
      <c r="A381" s="39" t="n">
        <v>45783</v>
      </c>
      <c r="B381" s="40" t="n">
        <v>22544.39</v>
      </c>
      <c r="C381" s="40" t="n">
        <v>8019.14</v>
      </c>
      <c r="D381" s="40" t="n">
        <v>38.62</v>
      </c>
      <c r="E381" s="40" t="n">
        <v>161.48</v>
      </c>
      <c r="F381" s="40" t="n">
        <v>34.2</v>
      </c>
      <c r="G381" s="40" t="n">
        <v>17.52</v>
      </c>
      <c r="H381" s="40" t="n">
        <v>20.66</v>
      </c>
      <c r="I381" s="41" t="n">
        <v>310</v>
      </c>
      <c r="J381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381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381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381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381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381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381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381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381" s="43">
        <f>(Dashboard!$C$13*tblHistory[[#This Row],[NDX S]]+Dashboard!$C$14*tblHistory[[#This Row],[SOX S]]+Dashboard!$C$15*tblHistory[[#This Row],[AIQ S]])/SUM(Dashboard!$C$13:$C$15)*100</f>
        <v/>
      </c>
      <c r="S381" s="43">
        <f>(Dashboard!$C$16*tblHistory[[#This Row],[ORCL S]]+Dashboard!$C$17*tblHistory[[#This Row],[CRWV S]])/SUM(Dashboard!$C$16:$C$17)*100</f>
        <v/>
      </c>
      <c r="T381" s="43">
        <f>(Dashboard!$C$18*tblHistory[[#This Row],[BIZD S]]+Dashboard!$C$19*tblHistory[[#This Row],[BKLN S]]+Dashboard!$C$20*tblHistory[[#This Row],[HY S]])/SUM(Dashboard!$C$18:$C$20)*100</f>
        <v/>
      </c>
      <c r="U381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381" s="43">
        <f>IFERROR(--(tblHistory[[#This Row],[Score]]&gt;=50),0)</f>
        <v/>
      </c>
      <c r="W381" s="43">
        <f>IFERROR(--AND(tblHistory[[#This Row],[Score]]&gt;=60,tblHistory[[#This Row],[BIZD S]]&gt;=0.8,tblHistory[[#This Row],[BKLN S]]&gt;=0.5),0)</f>
        <v/>
      </c>
      <c r="X381" s="43">
        <f>IFERROR(--AND(tblHistory[[#This Row],[Score]]&gt;=70,tblHistory[[#This Row],[SOX S]]&gt;=0.83,tblHistory[[#This Row],[AIQ S]]&gt;=0.8),0)</f>
        <v/>
      </c>
      <c r="Y381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381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381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381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381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382">
      <c r="A382" s="39" t="n">
        <v>45782</v>
      </c>
      <c r="B382" s="40" t="n">
        <v>22465.02</v>
      </c>
      <c r="C382" s="40" t="n">
        <v>7933.47</v>
      </c>
      <c r="D382" s="40" t="n">
        <v>39.38</v>
      </c>
      <c r="E382" s="40" t="n">
        <v>160.57</v>
      </c>
      <c r="F382" s="40" t="n">
        <v>34.4</v>
      </c>
      <c r="G382" s="40" t="n">
        <v>17.44</v>
      </c>
      <c r="H382" s="40" t="n">
        <v>20.67</v>
      </c>
      <c r="I382" s="41" t="n">
        <v>314</v>
      </c>
      <c r="J382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382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382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382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382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382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382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382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382" s="43">
        <f>(Dashboard!$C$13*tblHistory[[#This Row],[NDX S]]+Dashboard!$C$14*tblHistory[[#This Row],[SOX S]]+Dashboard!$C$15*tblHistory[[#This Row],[AIQ S]])/SUM(Dashboard!$C$13:$C$15)*100</f>
        <v/>
      </c>
      <c r="S382" s="43">
        <f>(Dashboard!$C$16*tblHistory[[#This Row],[ORCL S]]+Dashboard!$C$17*tblHistory[[#This Row],[CRWV S]])/SUM(Dashboard!$C$16:$C$17)*100</f>
        <v/>
      </c>
      <c r="T382" s="43">
        <f>(Dashboard!$C$18*tblHistory[[#This Row],[BIZD S]]+Dashboard!$C$19*tblHistory[[#This Row],[BKLN S]]+Dashboard!$C$20*tblHistory[[#This Row],[HY S]])/SUM(Dashboard!$C$18:$C$20)*100</f>
        <v/>
      </c>
      <c r="U382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382" s="43">
        <f>IFERROR(--(tblHistory[[#This Row],[Score]]&gt;=50),0)</f>
        <v/>
      </c>
      <c r="W382" s="43">
        <f>IFERROR(--AND(tblHistory[[#This Row],[Score]]&gt;=60,tblHistory[[#This Row],[BIZD S]]&gt;=0.8,tblHistory[[#This Row],[BKLN S]]&gt;=0.5),0)</f>
        <v/>
      </c>
      <c r="X382" s="43">
        <f>IFERROR(--AND(tblHistory[[#This Row],[Score]]&gt;=70,tblHistory[[#This Row],[SOX S]]&gt;=0.83,tblHistory[[#This Row],[AIQ S]]&gt;=0.8),0)</f>
        <v/>
      </c>
      <c r="Y382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382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382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382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382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383">
      <c r="A383" s="39" t="n">
        <v>45779</v>
      </c>
      <c r="B383" s="40" t="n">
        <v>22756.4</v>
      </c>
      <c r="C383" s="40" t="n">
        <v>8030.1</v>
      </c>
      <c r="D383" s="40" t="n">
        <v>39.63</v>
      </c>
      <c r="E383" s="40" t="n">
        <v>159.81</v>
      </c>
      <c r="F383" s="40" t="n">
        <v>33.33</v>
      </c>
      <c r="G383" s="40" t="n">
        <v>17.31</v>
      </c>
      <c r="H383" s="40" t="n">
        <v>20.66</v>
      </c>
      <c r="I383" s="41" t="n">
        <v>309</v>
      </c>
      <c r="J383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383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383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383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383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383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383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383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383" s="43">
        <f>(Dashboard!$C$13*tblHistory[[#This Row],[NDX S]]+Dashboard!$C$14*tblHistory[[#This Row],[SOX S]]+Dashboard!$C$15*tblHistory[[#This Row],[AIQ S]])/SUM(Dashboard!$C$13:$C$15)*100</f>
        <v/>
      </c>
      <c r="S383" s="43">
        <f>(Dashboard!$C$16*tblHistory[[#This Row],[ORCL S]]+Dashboard!$C$17*tblHistory[[#This Row],[CRWV S]])/SUM(Dashboard!$C$16:$C$17)*100</f>
        <v/>
      </c>
      <c r="T383" s="43">
        <f>(Dashboard!$C$18*tblHistory[[#This Row],[BIZD S]]+Dashboard!$C$19*tblHistory[[#This Row],[BKLN S]]+Dashboard!$C$20*tblHistory[[#This Row],[HY S]])/SUM(Dashboard!$C$18:$C$20)*100</f>
        <v/>
      </c>
      <c r="U383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383" s="43">
        <f>IFERROR(--(tblHistory[[#This Row],[Score]]&gt;=50),0)</f>
        <v/>
      </c>
      <c r="W383" s="43">
        <f>IFERROR(--AND(tblHistory[[#This Row],[Score]]&gt;=60,tblHistory[[#This Row],[BIZD S]]&gt;=0.8,tblHistory[[#This Row],[BKLN S]]&gt;=0.5),0)</f>
        <v/>
      </c>
      <c r="X383" s="43">
        <f>IFERROR(--AND(tblHistory[[#This Row],[Score]]&gt;=70,tblHistory[[#This Row],[SOX S]]&gt;=0.83,tblHistory[[#This Row],[AIQ S]]&gt;=0.8),0)</f>
        <v/>
      </c>
      <c r="Y383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383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383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383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383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384">
      <c r="A384" s="39" t="n">
        <v>45778</v>
      </c>
      <c r="B384" s="40" t="n">
        <v>23453.56</v>
      </c>
      <c r="C384" s="40" t="n">
        <v>8104.07</v>
      </c>
      <c r="D384" s="40" t="n">
        <v>40.3</v>
      </c>
      <c r="E384" s="40" t="n">
        <v>163.96</v>
      </c>
      <c r="F384" s="40" t="n">
        <v>35.73</v>
      </c>
      <c r="G384" s="40" t="n">
        <v>17.26</v>
      </c>
      <c r="H384" s="40" t="n">
        <v>20.66</v>
      </c>
      <c r="I384" s="41" t="n">
        <v>308</v>
      </c>
      <c r="J384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384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384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384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384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384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384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384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384" s="43">
        <f>(Dashboard!$C$13*tblHistory[[#This Row],[NDX S]]+Dashboard!$C$14*tblHistory[[#This Row],[SOX S]]+Dashboard!$C$15*tblHistory[[#This Row],[AIQ S]])/SUM(Dashboard!$C$13:$C$15)*100</f>
        <v/>
      </c>
      <c r="S384" s="43">
        <f>(Dashboard!$C$16*tblHistory[[#This Row],[ORCL S]]+Dashboard!$C$17*tblHistory[[#This Row],[CRWV S]])/SUM(Dashboard!$C$16:$C$17)*100</f>
        <v/>
      </c>
      <c r="T384" s="43">
        <f>(Dashboard!$C$18*tblHistory[[#This Row],[BIZD S]]+Dashboard!$C$19*tblHistory[[#This Row],[BKLN S]]+Dashboard!$C$20*tblHistory[[#This Row],[HY S]])/SUM(Dashboard!$C$18:$C$20)*100</f>
        <v/>
      </c>
      <c r="U384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384" s="43">
        <f>IFERROR(--(tblHistory[[#This Row],[Score]]&gt;=50),0)</f>
        <v/>
      </c>
      <c r="W384" s="43">
        <f>IFERROR(--AND(tblHistory[[#This Row],[Score]]&gt;=60,tblHistory[[#This Row],[BIZD S]]&gt;=0.8,tblHistory[[#This Row],[BKLN S]]&gt;=0.5),0)</f>
        <v/>
      </c>
      <c r="X384" s="43">
        <f>IFERROR(--AND(tblHistory[[#This Row],[Score]]&gt;=70,tblHistory[[#This Row],[SOX S]]&gt;=0.83,tblHistory[[#This Row],[AIQ S]]&gt;=0.8),0)</f>
        <v/>
      </c>
      <c r="Y384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384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384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384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384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385">
      <c r="A385" s="39" t="n">
        <v>45777</v>
      </c>
      <c r="B385" s="40" t="n">
        <v>22928.37</v>
      </c>
      <c r="C385" s="40" t="n">
        <v>7761.9</v>
      </c>
      <c r="D385" s="40" t="n">
        <v>40.54</v>
      </c>
      <c r="E385" s="40" t="n">
        <v>166.48</v>
      </c>
      <c r="F385" s="40" t="n">
        <v>34</v>
      </c>
      <c r="G385" s="40" t="n">
        <v>17.34</v>
      </c>
      <c r="H385" s="40" t="n">
        <v>20.59</v>
      </c>
      <c r="I385" s="41" t="n">
        <v>307</v>
      </c>
      <c r="J385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385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385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385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385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385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385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385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385" s="43">
        <f>(Dashboard!$C$13*tblHistory[[#This Row],[NDX S]]+Dashboard!$C$14*tblHistory[[#This Row],[SOX S]]+Dashboard!$C$15*tblHistory[[#This Row],[AIQ S]])/SUM(Dashboard!$C$13:$C$15)*100</f>
        <v/>
      </c>
      <c r="S385" s="43">
        <f>(Dashboard!$C$16*tblHistory[[#This Row],[ORCL S]]+Dashboard!$C$17*tblHistory[[#This Row],[CRWV S]])/SUM(Dashboard!$C$16:$C$17)*100</f>
        <v/>
      </c>
      <c r="T385" s="43">
        <f>(Dashboard!$C$18*tblHistory[[#This Row],[BIZD S]]+Dashboard!$C$19*tblHistory[[#This Row],[BKLN S]]+Dashboard!$C$20*tblHistory[[#This Row],[HY S]])/SUM(Dashboard!$C$18:$C$20)*100</f>
        <v/>
      </c>
      <c r="U385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385" s="43">
        <f>IFERROR(--(tblHistory[[#This Row],[Score]]&gt;=50),0)</f>
        <v/>
      </c>
      <c r="W385" s="43">
        <f>IFERROR(--AND(tblHistory[[#This Row],[Score]]&gt;=60,tblHistory[[#This Row],[BIZD S]]&gt;=0.8,tblHistory[[#This Row],[BKLN S]]&gt;=0.5),0)</f>
        <v/>
      </c>
      <c r="X385" s="43">
        <f>IFERROR(--AND(tblHistory[[#This Row],[Score]]&gt;=70,tblHistory[[#This Row],[SOX S]]&gt;=0.83,tblHistory[[#This Row],[AIQ S]]&gt;=0.8),0)</f>
        <v/>
      </c>
      <c r="Y385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385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385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385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385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386">
      <c r="A386" s="39" t="n">
        <v>45776</v>
      </c>
      <c r="B386" s="40" t="n">
        <v>22808.77</v>
      </c>
      <c r="C386" s="40" t="n">
        <v>7720.37</v>
      </c>
      <c r="D386" s="40" t="n">
        <v>40.48</v>
      </c>
      <c r="E386" s="40" t="n">
        <v>163.34</v>
      </c>
      <c r="F386" s="40" t="n">
        <v>34.59</v>
      </c>
      <c r="G386" s="40" t="n">
        <v>17.39</v>
      </c>
      <c r="H386" s="40" t="n">
        <v>20.56</v>
      </c>
      <c r="I386" s="41" t="n">
        <v>311</v>
      </c>
      <c r="J386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386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386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386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386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386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386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386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386" s="43">
        <f>(Dashboard!$C$13*tblHistory[[#This Row],[NDX S]]+Dashboard!$C$14*tblHistory[[#This Row],[SOX S]]+Dashboard!$C$15*tblHistory[[#This Row],[AIQ S]])/SUM(Dashboard!$C$13:$C$15)*100</f>
        <v/>
      </c>
      <c r="S386" s="43">
        <f>(Dashboard!$C$16*tblHistory[[#This Row],[ORCL S]]+Dashboard!$C$17*tblHistory[[#This Row],[CRWV S]])/SUM(Dashboard!$C$16:$C$17)*100</f>
        <v/>
      </c>
      <c r="T386" s="43">
        <f>(Dashboard!$C$18*tblHistory[[#This Row],[BIZD S]]+Dashboard!$C$19*tblHistory[[#This Row],[BKLN S]]+Dashboard!$C$20*tblHistory[[#This Row],[HY S]])/SUM(Dashboard!$C$18:$C$20)*100</f>
        <v/>
      </c>
      <c r="U386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386" s="43">
        <f>IFERROR(--(tblHistory[[#This Row],[Score]]&gt;=50),0)</f>
        <v/>
      </c>
      <c r="W386" s="43">
        <f>IFERROR(--AND(tblHistory[[#This Row],[Score]]&gt;=60,tblHistory[[#This Row],[BIZD S]]&gt;=0.8,tblHistory[[#This Row],[BKLN S]]&gt;=0.5),0)</f>
        <v/>
      </c>
      <c r="X386" s="43">
        <f>IFERROR(--AND(tblHistory[[#This Row],[Score]]&gt;=70,tblHistory[[#This Row],[SOX S]]&gt;=0.83,tblHistory[[#This Row],[AIQ S]]&gt;=0.8),0)</f>
        <v/>
      </c>
      <c r="Y386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386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386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386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386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387">
      <c r="A387" s="39" t="n">
        <v>45775</v>
      </c>
      <c r="B387" s="40" t="n">
        <v>22887.33</v>
      </c>
      <c r="C387" s="40" t="n">
        <v>7652.28</v>
      </c>
      <c r="D387" s="40" t="n">
        <v>40.31</v>
      </c>
      <c r="E387" s="40" t="n">
        <v>166.58</v>
      </c>
      <c r="F387" s="40" t="n">
        <v>33.34</v>
      </c>
      <c r="G387" s="40" t="n">
        <v>17.2</v>
      </c>
      <c r="H387" s="40" t="n">
        <v>20.6</v>
      </c>
      <c r="I387" s="41" t="n">
        <v>317</v>
      </c>
      <c r="J387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387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387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387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387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387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387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387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387" s="43">
        <f>(Dashboard!$C$13*tblHistory[[#This Row],[NDX S]]+Dashboard!$C$14*tblHistory[[#This Row],[SOX S]]+Dashboard!$C$15*tblHistory[[#This Row],[AIQ S]])/SUM(Dashboard!$C$13:$C$15)*100</f>
        <v/>
      </c>
      <c r="S387" s="43">
        <f>(Dashboard!$C$16*tblHistory[[#This Row],[ORCL S]]+Dashboard!$C$17*tblHistory[[#This Row],[CRWV S]])/SUM(Dashboard!$C$16:$C$17)*100</f>
        <v/>
      </c>
      <c r="T387" s="43">
        <f>(Dashboard!$C$18*tblHistory[[#This Row],[BIZD S]]+Dashboard!$C$19*tblHistory[[#This Row],[BKLN S]]+Dashboard!$C$20*tblHistory[[#This Row],[HY S]])/SUM(Dashboard!$C$18:$C$20)*100</f>
        <v/>
      </c>
      <c r="U387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387" s="43">
        <f>IFERROR(--(tblHistory[[#This Row],[Score]]&gt;=50),0)</f>
        <v/>
      </c>
      <c r="W387" s="43">
        <f>IFERROR(--AND(tblHistory[[#This Row],[Score]]&gt;=60,tblHistory[[#This Row],[BIZD S]]&gt;=0.8,tblHistory[[#This Row],[BKLN S]]&gt;=0.5),0)</f>
        <v/>
      </c>
      <c r="X387" s="43">
        <f>IFERROR(--AND(tblHistory[[#This Row],[Score]]&gt;=70,tblHistory[[#This Row],[SOX S]]&gt;=0.83,tblHistory[[#This Row],[AIQ S]]&gt;=0.8),0)</f>
        <v/>
      </c>
      <c r="Y387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387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387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387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387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388">
      <c r="A388" s="39" t="n">
        <v>45772</v>
      </c>
      <c r="B388" s="40" t="n">
        <v>22621.44</v>
      </c>
      <c r="C388" s="40" t="n">
        <v>7404.92</v>
      </c>
      <c r="D388" s="40" t="n">
        <v>40.05</v>
      </c>
      <c r="E388" s="40" t="n">
        <v>172.79</v>
      </c>
      <c r="F388" s="40" t="n">
        <v>33.59</v>
      </c>
      <c r="G388" s="40" t="n">
        <v>17</v>
      </c>
      <c r="H388" s="40" t="n">
        <v>20.58</v>
      </c>
      <c r="I388" s="41" t="n">
        <v>323</v>
      </c>
      <c r="J388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388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388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388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388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388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388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388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388" s="43">
        <f>(Dashboard!$C$13*tblHistory[[#This Row],[NDX S]]+Dashboard!$C$14*tblHistory[[#This Row],[SOX S]]+Dashboard!$C$15*tblHistory[[#This Row],[AIQ S]])/SUM(Dashboard!$C$13:$C$15)*100</f>
        <v/>
      </c>
      <c r="S388" s="43">
        <f>(Dashboard!$C$16*tblHistory[[#This Row],[ORCL S]]+Dashboard!$C$17*tblHistory[[#This Row],[CRWV S]])/SUM(Dashboard!$C$16:$C$17)*100</f>
        <v/>
      </c>
      <c r="T388" s="43">
        <f>(Dashboard!$C$18*tblHistory[[#This Row],[BIZD S]]+Dashboard!$C$19*tblHistory[[#This Row],[BKLN S]]+Dashboard!$C$20*tblHistory[[#This Row],[HY S]])/SUM(Dashboard!$C$18:$C$20)*100</f>
        <v/>
      </c>
      <c r="U388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388" s="43">
        <f>IFERROR(--(tblHistory[[#This Row],[Score]]&gt;=50),0)</f>
        <v/>
      </c>
      <c r="W388" s="43">
        <f>IFERROR(--AND(tblHistory[[#This Row],[Score]]&gt;=60,tblHistory[[#This Row],[BIZD S]]&gt;=0.8,tblHistory[[#This Row],[BKLN S]]&gt;=0.5),0)</f>
        <v/>
      </c>
      <c r="X388" s="43">
        <f>IFERROR(--AND(tblHistory[[#This Row],[Score]]&gt;=70,tblHistory[[#This Row],[SOX S]]&gt;=0.83,tblHistory[[#This Row],[AIQ S]]&gt;=0.8),0)</f>
        <v/>
      </c>
      <c r="Y388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388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388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388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388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389">
      <c r="A389" s="39" t="n">
        <v>45771</v>
      </c>
      <c r="B389" s="40" t="n">
        <v>22611.43</v>
      </c>
      <c r="C389" s="40" t="n">
        <v>7352.72</v>
      </c>
      <c r="D389" s="40" t="n">
        <v>40.18</v>
      </c>
      <c r="E389" s="40" t="n">
        <v>175.16</v>
      </c>
      <c r="F389" s="40" t="n">
        <v>34.09</v>
      </c>
      <c r="G389" s="40" t="n">
        <v>17.06</v>
      </c>
      <c r="H389" s="40" t="n">
        <v>20.53</v>
      </c>
      <c r="I389" s="41" t="n">
        <v>318</v>
      </c>
      <c r="J389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389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389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389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389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389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389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389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389" s="43">
        <f>(Dashboard!$C$13*tblHistory[[#This Row],[NDX S]]+Dashboard!$C$14*tblHistory[[#This Row],[SOX S]]+Dashboard!$C$15*tblHistory[[#This Row],[AIQ S]])/SUM(Dashboard!$C$13:$C$15)*100</f>
        <v/>
      </c>
      <c r="S389" s="43">
        <f>(Dashboard!$C$16*tblHistory[[#This Row],[ORCL S]]+Dashboard!$C$17*tblHistory[[#This Row],[CRWV S]])/SUM(Dashboard!$C$16:$C$17)*100</f>
        <v/>
      </c>
      <c r="T389" s="43">
        <f>(Dashboard!$C$18*tblHistory[[#This Row],[BIZD S]]+Dashboard!$C$19*tblHistory[[#This Row],[BKLN S]]+Dashboard!$C$20*tblHistory[[#This Row],[HY S]])/SUM(Dashboard!$C$18:$C$20)*100</f>
        <v/>
      </c>
      <c r="U389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389" s="43">
        <f>IFERROR(--(tblHistory[[#This Row],[Score]]&gt;=50),0)</f>
        <v/>
      </c>
      <c r="W389" s="43">
        <f>IFERROR(--AND(tblHistory[[#This Row],[Score]]&gt;=60,tblHistory[[#This Row],[BIZD S]]&gt;=0.8,tblHistory[[#This Row],[BKLN S]]&gt;=0.5),0)</f>
        <v/>
      </c>
      <c r="X389" s="43">
        <f>IFERROR(--AND(tblHistory[[#This Row],[Score]]&gt;=70,tblHistory[[#This Row],[SOX S]]&gt;=0.83,tblHistory[[#This Row],[AIQ S]]&gt;=0.8),0)</f>
        <v/>
      </c>
      <c r="Y389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389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389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389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389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390">
      <c r="A390" s="39" t="n">
        <v>45770</v>
      </c>
      <c r="B390" s="40" t="n">
        <v>22699.12</v>
      </c>
      <c r="C390" s="40" t="n">
        <v>7520.04</v>
      </c>
      <c r="D390" s="40" t="n">
        <v>39.42</v>
      </c>
      <c r="E390" s="40" t="n">
        <v>174.67</v>
      </c>
      <c r="F390" s="40" t="n">
        <v>32.47</v>
      </c>
      <c r="G390" s="40" t="n">
        <v>17.26</v>
      </c>
      <c r="H390" s="40" t="n">
        <v>20.57</v>
      </c>
      <c r="I390" s="41" t="n">
        <v>325</v>
      </c>
      <c r="J390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390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390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390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390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390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390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390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390" s="43">
        <f>(Dashboard!$C$13*tblHistory[[#This Row],[NDX S]]+Dashboard!$C$14*tblHistory[[#This Row],[SOX S]]+Dashboard!$C$15*tblHistory[[#This Row],[AIQ S]])/SUM(Dashboard!$C$13:$C$15)*100</f>
        <v/>
      </c>
      <c r="S390" s="43">
        <f>(Dashboard!$C$16*tblHistory[[#This Row],[ORCL S]]+Dashboard!$C$17*tblHistory[[#This Row],[CRWV S]])/SUM(Dashboard!$C$16:$C$17)*100</f>
        <v/>
      </c>
      <c r="T390" s="43">
        <f>(Dashboard!$C$18*tblHistory[[#This Row],[BIZD S]]+Dashboard!$C$19*tblHistory[[#This Row],[BKLN S]]+Dashboard!$C$20*tblHistory[[#This Row],[HY S]])/SUM(Dashboard!$C$18:$C$20)*100</f>
        <v/>
      </c>
      <c r="U390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390" s="43">
        <f>IFERROR(--(tblHistory[[#This Row],[Score]]&gt;=50),0)</f>
        <v/>
      </c>
      <c r="W390" s="43">
        <f>IFERROR(--AND(tblHistory[[#This Row],[Score]]&gt;=60,tblHistory[[#This Row],[BIZD S]]&gt;=0.8,tblHistory[[#This Row],[BKLN S]]&gt;=0.5),0)</f>
        <v/>
      </c>
      <c r="X390" s="43">
        <f>IFERROR(--AND(tblHistory[[#This Row],[Score]]&gt;=70,tblHistory[[#This Row],[SOX S]]&gt;=0.83,tblHistory[[#This Row],[AIQ S]]&gt;=0.8),0)</f>
        <v/>
      </c>
      <c r="Y390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390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390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390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390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391">
      <c r="A391" s="39" t="n">
        <v>45769</v>
      </c>
      <c r="B391" s="40" t="n">
        <v>22802.21</v>
      </c>
      <c r="C391" s="40" t="n">
        <v>7711.43</v>
      </c>
      <c r="D391" s="40" t="n">
        <v>38.48</v>
      </c>
      <c r="E391" s="40" t="n">
        <v>171.25</v>
      </c>
      <c r="F391" s="40" t="n">
        <v>31.26</v>
      </c>
      <c r="G391" s="40" t="n">
        <v>17.3</v>
      </c>
      <c r="H391" s="40" t="n">
        <v>20.58</v>
      </c>
      <c r="I391" s="41" t="n">
        <v>326</v>
      </c>
      <c r="J391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391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391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391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391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391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391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391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391" s="43">
        <f>(Dashboard!$C$13*tblHistory[[#This Row],[NDX S]]+Dashboard!$C$14*tblHistory[[#This Row],[SOX S]]+Dashboard!$C$15*tblHistory[[#This Row],[AIQ S]])/SUM(Dashboard!$C$13:$C$15)*100</f>
        <v/>
      </c>
      <c r="S391" s="43">
        <f>(Dashboard!$C$16*tblHistory[[#This Row],[ORCL S]]+Dashboard!$C$17*tblHistory[[#This Row],[CRWV S]])/SUM(Dashboard!$C$16:$C$17)*100</f>
        <v/>
      </c>
      <c r="T391" s="43">
        <f>(Dashboard!$C$18*tblHistory[[#This Row],[BIZD S]]+Dashboard!$C$19*tblHistory[[#This Row],[BKLN S]]+Dashboard!$C$20*tblHistory[[#This Row],[HY S]])/SUM(Dashboard!$C$18:$C$20)*100</f>
        <v/>
      </c>
      <c r="U391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391" s="43">
        <f>IFERROR(--(tblHistory[[#This Row],[Score]]&gt;=50),0)</f>
        <v/>
      </c>
      <c r="W391" s="43">
        <f>IFERROR(--AND(tblHistory[[#This Row],[Score]]&gt;=60,tblHistory[[#This Row],[BIZD S]]&gt;=0.8,tblHistory[[#This Row],[BKLN S]]&gt;=0.5),0)</f>
        <v/>
      </c>
      <c r="X391" s="43">
        <f>IFERROR(--AND(tblHistory[[#This Row],[Score]]&gt;=70,tblHistory[[#This Row],[SOX S]]&gt;=0.83,tblHistory[[#This Row],[AIQ S]]&gt;=0.8),0)</f>
        <v/>
      </c>
      <c r="Y391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391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391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391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391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392">
      <c r="A392" s="39" t="n">
        <v>45768</v>
      </c>
      <c r="B392" s="40" t="n">
        <v>22699.84</v>
      </c>
      <c r="C392" s="40" t="n">
        <v>7857.25</v>
      </c>
      <c r="D392" s="40" t="n">
        <v>38.37</v>
      </c>
      <c r="E392" s="40" t="n">
        <v>165.91</v>
      </c>
      <c r="F392" s="40" t="n">
        <v>30.12</v>
      </c>
      <c r="G392" s="40" t="n">
        <v>17.34</v>
      </c>
      <c r="H392" s="40" t="n">
        <v>20.56</v>
      </c>
      <c r="I392" s="41" t="n">
        <v>316</v>
      </c>
      <c r="J392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392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392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392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392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392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392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392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392" s="43">
        <f>(Dashboard!$C$13*tblHistory[[#This Row],[NDX S]]+Dashboard!$C$14*tblHistory[[#This Row],[SOX S]]+Dashboard!$C$15*tblHistory[[#This Row],[AIQ S]])/SUM(Dashboard!$C$13:$C$15)*100</f>
        <v/>
      </c>
      <c r="S392" s="43">
        <f>(Dashboard!$C$16*tblHistory[[#This Row],[ORCL S]]+Dashboard!$C$17*tblHistory[[#This Row],[CRWV S]])/SUM(Dashboard!$C$16:$C$17)*100</f>
        <v/>
      </c>
      <c r="T392" s="43">
        <f>(Dashboard!$C$18*tblHistory[[#This Row],[BIZD S]]+Dashboard!$C$19*tblHistory[[#This Row],[BKLN S]]+Dashboard!$C$20*tblHistory[[#This Row],[HY S]])/SUM(Dashboard!$C$18:$C$20)*100</f>
        <v/>
      </c>
      <c r="U392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392" s="43">
        <f>IFERROR(--(tblHistory[[#This Row],[Score]]&gt;=50),0)</f>
        <v/>
      </c>
      <c r="W392" s="43">
        <f>IFERROR(--AND(tblHistory[[#This Row],[Score]]&gt;=60,tblHistory[[#This Row],[BIZD S]]&gt;=0.8,tblHistory[[#This Row],[BKLN S]]&gt;=0.5),0)</f>
        <v/>
      </c>
      <c r="X392" s="43">
        <f>IFERROR(--AND(tblHistory[[#This Row],[Score]]&gt;=70,tblHistory[[#This Row],[SOX S]]&gt;=0.83,tblHistory[[#This Row],[AIQ S]]&gt;=0.8),0)</f>
        <v/>
      </c>
      <c r="Y392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392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392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392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392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393">
      <c r="A393" s="39" t="n">
        <v>45765</v>
      </c>
      <c r="B393" s="40" t="n">
        <v>22145.41</v>
      </c>
      <c r="C393" s="40" t="n">
        <v>7937.98</v>
      </c>
      <c r="D393" s="40" t="n">
        <v>38.28</v>
      </c>
      <c r="E393" s="40" t="n">
        <v>169.37</v>
      </c>
      <c r="F393" s="40" t="n">
        <v>29.6</v>
      </c>
      <c r="G393" s="40" t="n">
        <v>17.37</v>
      </c>
      <c r="H393" s="40" t="n">
        <v>20.5</v>
      </c>
      <c r="I393" s="41" t="n">
        <v>318</v>
      </c>
      <c r="J393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393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393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393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393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393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393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393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393" s="43">
        <f>(Dashboard!$C$13*tblHistory[[#This Row],[NDX S]]+Dashboard!$C$14*tblHistory[[#This Row],[SOX S]]+Dashboard!$C$15*tblHistory[[#This Row],[AIQ S]])/SUM(Dashboard!$C$13:$C$15)*100</f>
        <v/>
      </c>
      <c r="S393" s="43">
        <f>(Dashboard!$C$16*tblHistory[[#This Row],[ORCL S]]+Dashboard!$C$17*tblHistory[[#This Row],[CRWV S]])/SUM(Dashboard!$C$16:$C$17)*100</f>
        <v/>
      </c>
      <c r="T393" s="43">
        <f>(Dashboard!$C$18*tblHistory[[#This Row],[BIZD S]]+Dashboard!$C$19*tblHistory[[#This Row],[BKLN S]]+Dashboard!$C$20*tblHistory[[#This Row],[HY S]])/SUM(Dashboard!$C$18:$C$20)*100</f>
        <v/>
      </c>
      <c r="U393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393" s="43">
        <f>IFERROR(--(tblHistory[[#This Row],[Score]]&gt;=50),0)</f>
        <v/>
      </c>
      <c r="W393" s="43">
        <f>IFERROR(--AND(tblHistory[[#This Row],[Score]]&gt;=60,tblHistory[[#This Row],[BIZD S]]&gt;=0.8,tblHistory[[#This Row],[BKLN S]]&gt;=0.5),0)</f>
        <v/>
      </c>
      <c r="X393" s="43">
        <f>IFERROR(--AND(tblHistory[[#This Row],[Score]]&gt;=70,tblHistory[[#This Row],[SOX S]]&gt;=0.83,tblHistory[[#This Row],[AIQ S]]&gt;=0.8),0)</f>
        <v/>
      </c>
      <c r="Y393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393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393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393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393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394">
      <c r="A394" s="39" t="n">
        <v>45764</v>
      </c>
      <c r="B394" s="40" t="n">
        <v>21982.35</v>
      </c>
      <c r="C394" s="40" t="n">
        <v>7710.63</v>
      </c>
      <c r="D394" s="40" t="n">
        <v>37.74</v>
      </c>
      <c r="E394" s="40" t="n">
        <v>168.26</v>
      </c>
      <c r="F394" s="40" t="n">
        <v>29.54</v>
      </c>
      <c r="G394" s="40" t="n">
        <v>17.38</v>
      </c>
      <c r="H394" s="40" t="n">
        <v>20.55</v>
      </c>
      <c r="I394" s="41" t="n">
        <v>308</v>
      </c>
      <c r="J394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394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394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394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394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394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394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394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394" s="43">
        <f>(Dashboard!$C$13*tblHistory[[#This Row],[NDX S]]+Dashboard!$C$14*tblHistory[[#This Row],[SOX S]]+Dashboard!$C$15*tblHistory[[#This Row],[AIQ S]])/SUM(Dashboard!$C$13:$C$15)*100</f>
        <v/>
      </c>
      <c r="S394" s="43">
        <f>(Dashboard!$C$16*tblHistory[[#This Row],[ORCL S]]+Dashboard!$C$17*tblHistory[[#This Row],[CRWV S]])/SUM(Dashboard!$C$16:$C$17)*100</f>
        <v/>
      </c>
      <c r="T394" s="43">
        <f>(Dashboard!$C$18*tblHistory[[#This Row],[BIZD S]]+Dashboard!$C$19*tblHistory[[#This Row],[BKLN S]]+Dashboard!$C$20*tblHistory[[#This Row],[HY S]])/SUM(Dashboard!$C$18:$C$20)*100</f>
        <v/>
      </c>
      <c r="U394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394" s="43">
        <f>IFERROR(--(tblHistory[[#This Row],[Score]]&gt;=50),0)</f>
        <v/>
      </c>
      <c r="W394" s="43">
        <f>IFERROR(--AND(tblHistory[[#This Row],[Score]]&gt;=60,tblHistory[[#This Row],[BIZD S]]&gt;=0.8,tblHistory[[#This Row],[BKLN S]]&gt;=0.5),0)</f>
        <v/>
      </c>
      <c r="X394" s="43">
        <f>IFERROR(--AND(tblHistory[[#This Row],[Score]]&gt;=70,tblHistory[[#This Row],[SOX S]]&gt;=0.83,tblHistory[[#This Row],[AIQ S]]&gt;=0.8),0)</f>
        <v/>
      </c>
      <c r="Y394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394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394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394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394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395">
      <c r="A395" s="39" t="n">
        <v>45763</v>
      </c>
      <c r="B395" s="40" t="n">
        <v>21768.68</v>
      </c>
      <c r="C395" s="40" t="n">
        <v>7736.34</v>
      </c>
      <c r="D395" s="40" t="n">
        <v>36.78</v>
      </c>
      <c r="E395" s="40" t="n">
        <v>162.61</v>
      </c>
      <c r="F395" s="40" t="n">
        <v>30.95</v>
      </c>
      <c r="G395" s="40" t="n">
        <v>17.67</v>
      </c>
      <c r="H395" s="40" t="n">
        <v>20.55</v>
      </c>
      <c r="I395" s="41" t="n">
        <v>309</v>
      </c>
      <c r="J395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395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395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395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395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395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395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395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395" s="43">
        <f>(Dashboard!$C$13*tblHistory[[#This Row],[NDX S]]+Dashboard!$C$14*tblHistory[[#This Row],[SOX S]]+Dashboard!$C$15*tblHistory[[#This Row],[AIQ S]])/SUM(Dashboard!$C$13:$C$15)*100</f>
        <v/>
      </c>
      <c r="S395" s="43">
        <f>(Dashboard!$C$16*tblHistory[[#This Row],[ORCL S]]+Dashboard!$C$17*tblHistory[[#This Row],[CRWV S]])/SUM(Dashboard!$C$16:$C$17)*100</f>
        <v/>
      </c>
      <c r="T395" s="43">
        <f>(Dashboard!$C$18*tblHistory[[#This Row],[BIZD S]]+Dashboard!$C$19*tblHistory[[#This Row],[BKLN S]]+Dashboard!$C$20*tblHistory[[#This Row],[HY S]])/SUM(Dashboard!$C$18:$C$20)*100</f>
        <v/>
      </c>
      <c r="U395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395" s="43">
        <f>IFERROR(--(tblHistory[[#This Row],[Score]]&gt;=50),0)</f>
        <v/>
      </c>
      <c r="W395" s="43">
        <f>IFERROR(--AND(tblHistory[[#This Row],[Score]]&gt;=60,tblHistory[[#This Row],[BIZD S]]&gt;=0.8,tblHistory[[#This Row],[BKLN S]]&gt;=0.5),0)</f>
        <v/>
      </c>
      <c r="X395" s="43">
        <f>IFERROR(--AND(tblHistory[[#This Row],[Score]]&gt;=70,tblHistory[[#This Row],[SOX S]]&gt;=0.83,tblHistory[[#This Row],[AIQ S]]&gt;=0.8),0)</f>
        <v/>
      </c>
      <c r="Y395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395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395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395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395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396">
      <c r="A396" s="39" t="n">
        <v>45762</v>
      </c>
      <c r="B396" s="40" t="n">
        <v>21755.4</v>
      </c>
      <c r="C396" s="40" t="n">
        <v>7954.27</v>
      </c>
      <c r="D396" s="40" t="n">
        <v>36.12</v>
      </c>
      <c r="E396" s="40" t="n">
        <v>162.64</v>
      </c>
      <c r="F396" s="40" t="n">
        <v>33.64</v>
      </c>
      <c r="G396" s="40" t="n">
        <v>17.69</v>
      </c>
      <c r="H396" s="40" t="n">
        <v>20.54</v>
      </c>
      <c r="I396" s="41" t="n">
        <v>306</v>
      </c>
      <c r="J396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396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396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396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396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396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396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396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396" s="43">
        <f>(Dashboard!$C$13*tblHistory[[#This Row],[NDX S]]+Dashboard!$C$14*tblHistory[[#This Row],[SOX S]]+Dashboard!$C$15*tblHistory[[#This Row],[AIQ S]])/SUM(Dashboard!$C$13:$C$15)*100</f>
        <v/>
      </c>
      <c r="S396" s="43">
        <f>(Dashboard!$C$16*tblHistory[[#This Row],[ORCL S]]+Dashboard!$C$17*tblHistory[[#This Row],[CRWV S]])/SUM(Dashboard!$C$16:$C$17)*100</f>
        <v/>
      </c>
      <c r="T396" s="43">
        <f>(Dashboard!$C$18*tblHistory[[#This Row],[BIZD S]]+Dashboard!$C$19*tblHistory[[#This Row],[BKLN S]]+Dashboard!$C$20*tblHistory[[#This Row],[HY S]])/SUM(Dashboard!$C$18:$C$20)*100</f>
        <v/>
      </c>
      <c r="U396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396" s="43">
        <f>IFERROR(--(tblHistory[[#This Row],[Score]]&gt;=50),0)</f>
        <v/>
      </c>
      <c r="W396" s="43">
        <f>IFERROR(--AND(tblHistory[[#This Row],[Score]]&gt;=60,tblHistory[[#This Row],[BIZD S]]&gt;=0.8,tblHistory[[#This Row],[BKLN S]]&gt;=0.5),0)</f>
        <v/>
      </c>
      <c r="X396" s="43">
        <f>IFERROR(--AND(tblHistory[[#This Row],[Score]]&gt;=70,tblHistory[[#This Row],[SOX S]]&gt;=0.83,tblHistory[[#This Row],[AIQ S]]&gt;=0.8),0)</f>
        <v/>
      </c>
      <c r="Y396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396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396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396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396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397">
      <c r="A397" s="39" t="n">
        <v>45761</v>
      </c>
      <c r="B397" s="40" t="n">
        <v>21593.43</v>
      </c>
      <c r="C397" s="40" t="n">
        <v>7893.55</v>
      </c>
      <c r="D397" s="40" t="n">
        <v>35.94</v>
      </c>
      <c r="E397" s="40" t="n">
        <v>162.04</v>
      </c>
      <c r="F397" s="40" t="n">
        <v>32.9</v>
      </c>
      <c r="G397" s="40" t="n">
        <v>17.61</v>
      </c>
      <c r="H397" s="40" t="n">
        <v>20.53</v>
      </c>
      <c r="I397" s="41" t="n">
        <v>298</v>
      </c>
      <c r="J397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397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397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397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397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397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397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397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397" s="43">
        <f>(Dashboard!$C$13*tblHistory[[#This Row],[NDX S]]+Dashboard!$C$14*tblHistory[[#This Row],[SOX S]]+Dashboard!$C$15*tblHistory[[#This Row],[AIQ S]])/SUM(Dashboard!$C$13:$C$15)*100</f>
        <v/>
      </c>
      <c r="S397" s="43">
        <f>(Dashboard!$C$16*tblHistory[[#This Row],[ORCL S]]+Dashboard!$C$17*tblHistory[[#This Row],[CRWV S]])/SUM(Dashboard!$C$16:$C$17)*100</f>
        <v/>
      </c>
      <c r="T397" s="43">
        <f>(Dashboard!$C$18*tblHistory[[#This Row],[BIZD S]]+Dashboard!$C$19*tblHistory[[#This Row],[BKLN S]]+Dashboard!$C$20*tblHistory[[#This Row],[HY S]])/SUM(Dashboard!$C$18:$C$20)*100</f>
        <v/>
      </c>
      <c r="U397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397" s="43">
        <f>IFERROR(--(tblHistory[[#This Row],[Score]]&gt;=50),0)</f>
        <v/>
      </c>
      <c r="W397" s="43">
        <f>IFERROR(--AND(tblHistory[[#This Row],[Score]]&gt;=60,tblHistory[[#This Row],[BIZD S]]&gt;=0.8,tblHistory[[#This Row],[BKLN S]]&gt;=0.5),0)</f>
        <v/>
      </c>
      <c r="X397" s="43">
        <f>IFERROR(--AND(tblHistory[[#This Row],[Score]]&gt;=70,tblHistory[[#This Row],[SOX S]]&gt;=0.83,tblHistory[[#This Row],[AIQ S]]&gt;=0.8),0)</f>
        <v/>
      </c>
      <c r="Y397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397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397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397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397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398">
      <c r="A398" s="39" t="n">
        <v>45758</v>
      </c>
      <c r="B398" s="40" t="n">
        <v>21508.75</v>
      </c>
      <c r="C398" s="40" t="n">
        <v>7821.11</v>
      </c>
      <c r="D398" s="40" t="n">
        <v>36.09</v>
      </c>
      <c r="E398" s="40" t="n">
        <v>164.07</v>
      </c>
      <c r="F398" s="40" t="n">
        <v>31.98</v>
      </c>
      <c r="G398" s="40" t="n">
        <v>17.52</v>
      </c>
      <c r="H398" s="40" t="n">
        <v>20.49</v>
      </c>
      <c r="I398" s="41" t="n">
        <v>308</v>
      </c>
      <c r="J398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398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398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398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398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398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398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398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398" s="43">
        <f>(Dashboard!$C$13*tblHistory[[#This Row],[NDX S]]+Dashboard!$C$14*tblHistory[[#This Row],[SOX S]]+Dashboard!$C$15*tblHistory[[#This Row],[AIQ S]])/SUM(Dashboard!$C$13:$C$15)*100</f>
        <v/>
      </c>
      <c r="S398" s="43">
        <f>(Dashboard!$C$16*tblHistory[[#This Row],[ORCL S]]+Dashboard!$C$17*tblHistory[[#This Row],[CRWV S]])/SUM(Dashboard!$C$16:$C$17)*100</f>
        <v/>
      </c>
      <c r="T398" s="43">
        <f>(Dashboard!$C$18*tblHistory[[#This Row],[BIZD S]]+Dashboard!$C$19*tblHistory[[#This Row],[BKLN S]]+Dashboard!$C$20*tblHistory[[#This Row],[HY S]])/SUM(Dashboard!$C$18:$C$20)*100</f>
        <v/>
      </c>
      <c r="U398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398" s="43">
        <f>IFERROR(--(tblHistory[[#This Row],[Score]]&gt;=50),0)</f>
        <v/>
      </c>
      <c r="W398" s="43">
        <f>IFERROR(--AND(tblHistory[[#This Row],[Score]]&gt;=60,tblHistory[[#This Row],[BIZD S]]&gt;=0.8,tblHistory[[#This Row],[BKLN S]]&gt;=0.5),0)</f>
        <v/>
      </c>
      <c r="X398" s="43">
        <f>IFERROR(--AND(tblHistory[[#This Row],[Score]]&gt;=70,tblHistory[[#This Row],[SOX S]]&gt;=0.83,tblHistory[[#This Row],[AIQ S]]&gt;=0.8),0)</f>
        <v/>
      </c>
      <c r="Y398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398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398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398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398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399">
      <c r="A399" s="39" t="n">
        <v>45757</v>
      </c>
      <c r="B399" s="40" t="n">
        <v>21541.35</v>
      </c>
      <c r="C399" s="40" t="n">
        <v>7835.14</v>
      </c>
      <c r="D399" s="40" t="n">
        <v>36.43</v>
      </c>
      <c r="E399" s="40" t="n">
        <v>167.04</v>
      </c>
      <c r="F399" s="40" t="n">
        <v>32.88</v>
      </c>
      <c r="G399" s="40" t="n">
        <v>17.73</v>
      </c>
      <c r="H399" s="40" t="n">
        <v>20.43</v>
      </c>
      <c r="I399" s="41" t="n">
        <v>316</v>
      </c>
      <c r="J399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399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399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399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399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399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399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399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399" s="43">
        <f>(Dashboard!$C$13*tblHistory[[#This Row],[NDX S]]+Dashboard!$C$14*tblHistory[[#This Row],[SOX S]]+Dashboard!$C$15*tblHistory[[#This Row],[AIQ S]])/SUM(Dashboard!$C$13:$C$15)*100</f>
        <v/>
      </c>
      <c r="S399" s="43">
        <f>(Dashboard!$C$16*tblHistory[[#This Row],[ORCL S]]+Dashboard!$C$17*tblHistory[[#This Row],[CRWV S]])/SUM(Dashboard!$C$16:$C$17)*100</f>
        <v/>
      </c>
      <c r="T399" s="43">
        <f>(Dashboard!$C$18*tblHistory[[#This Row],[BIZD S]]+Dashboard!$C$19*tblHistory[[#This Row],[BKLN S]]+Dashboard!$C$20*tblHistory[[#This Row],[HY S]])/SUM(Dashboard!$C$18:$C$20)*100</f>
        <v/>
      </c>
      <c r="U399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399" s="43">
        <f>IFERROR(--(tblHistory[[#This Row],[Score]]&gt;=50),0)</f>
        <v/>
      </c>
      <c r="W399" s="43">
        <f>IFERROR(--AND(tblHistory[[#This Row],[Score]]&gt;=60,tblHistory[[#This Row],[BIZD S]]&gt;=0.8,tblHistory[[#This Row],[BKLN S]]&gt;=0.5),0)</f>
        <v/>
      </c>
      <c r="X399" s="43">
        <f>IFERROR(--AND(tblHistory[[#This Row],[Score]]&gt;=70,tblHistory[[#This Row],[SOX S]]&gt;=0.83,tblHistory[[#This Row],[AIQ S]]&gt;=0.8),0)</f>
        <v/>
      </c>
      <c r="Y399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399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399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399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399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400">
      <c r="A400" s="39" t="n">
        <v>45756</v>
      </c>
      <c r="B400" s="40" t="n">
        <v>21380.32</v>
      </c>
      <c r="C400" s="40" t="n">
        <v>7719.7</v>
      </c>
      <c r="D400" s="40" t="n">
        <v>36.12</v>
      </c>
      <c r="E400" s="40" t="n">
        <v>170.89</v>
      </c>
      <c r="F400" s="40" t="n">
        <v>31.64</v>
      </c>
      <c r="G400" s="40" t="n">
        <v>17.83</v>
      </c>
      <c r="H400" s="40" t="n">
        <v>20.41</v>
      </c>
      <c r="I400" s="41" t="n">
        <v>300</v>
      </c>
      <c r="J400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400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400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400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400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400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400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400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400" s="43">
        <f>(Dashboard!$C$13*tblHistory[[#This Row],[NDX S]]+Dashboard!$C$14*tblHistory[[#This Row],[SOX S]]+Dashboard!$C$15*tblHistory[[#This Row],[AIQ S]])/SUM(Dashboard!$C$13:$C$15)*100</f>
        <v/>
      </c>
      <c r="S400" s="43">
        <f>(Dashboard!$C$16*tblHistory[[#This Row],[ORCL S]]+Dashboard!$C$17*tblHistory[[#This Row],[CRWV S]])/SUM(Dashboard!$C$16:$C$17)*100</f>
        <v/>
      </c>
      <c r="T400" s="43">
        <f>(Dashboard!$C$18*tblHistory[[#This Row],[BIZD S]]+Dashboard!$C$19*tblHistory[[#This Row],[BKLN S]]+Dashboard!$C$20*tblHistory[[#This Row],[HY S]])/SUM(Dashboard!$C$18:$C$20)*100</f>
        <v/>
      </c>
      <c r="U400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400" s="43">
        <f>IFERROR(--(tblHistory[[#This Row],[Score]]&gt;=50),0)</f>
        <v/>
      </c>
      <c r="W400" s="43">
        <f>IFERROR(--AND(tblHistory[[#This Row],[Score]]&gt;=60,tblHistory[[#This Row],[BIZD S]]&gt;=0.8,tblHistory[[#This Row],[BKLN S]]&gt;=0.5),0)</f>
        <v/>
      </c>
      <c r="X400" s="43">
        <f>IFERROR(--AND(tblHistory[[#This Row],[Score]]&gt;=70,tblHistory[[#This Row],[SOX S]]&gt;=0.83,tblHistory[[#This Row],[AIQ S]]&gt;=0.8),0)</f>
        <v/>
      </c>
      <c r="Y400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400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400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400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400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401">
      <c r="A401" s="39" t="n">
        <v>45755</v>
      </c>
      <c r="B401" s="40" t="n">
        <v>21328.44</v>
      </c>
      <c r="C401" s="40" t="n">
        <v>7974.98</v>
      </c>
      <c r="D401" s="40" t="n">
        <v>36.8</v>
      </c>
      <c r="E401" s="40" t="n">
        <v>171.79</v>
      </c>
      <c r="F401" s="40" t="n">
        <v>33.01</v>
      </c>
      <c r="G401" s="40" t="n">
        <v>17.65</v>
      </c>
      <c r="H401" s="40" t="n">
        <v>20.39</v>
      </c>
      <c r="I401" s="41" t="n">
        <v>298</v>
      </c>
      <c r="J401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401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401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401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401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401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401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401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401" s="43">
        <f>(Dashboard!$C$13*tblHistory[[#This Row],[NDX S]]+Dashboard!$C$14*tblHistory[[#This Row],[SOX S]]+Dashboard!$C$15*tblHistory[[#This Row],[AIQ S]])/SUM(Dashboard!$C$13:$C$15)*100</f>
        <v/>
      </c>
      <c r="S401" s="43">
        <f>(Dashboard!$C$16*tblHistory[[#This Row],[ORCL S]]+Dashboard!$C$17*tblHistory[[#This Row],[CRWV S]])/SUM(Dashboard!$C$16:$C$17)*100</f>
        <v/>
      </c>
      <c r="T401" s="43">
        <f>(Dashboard!$C$18*tblHistory[[#This Row],[BIZD S]]+Dashboard!$C$19*tblHistory[[#This Row],[BKLN S]]+Dashboard!$C$20*tblHistory[[#This Row],[HY S]])/SUM(Dashboard!$C$18:$C$20)*100</f>
        <v/>
      </c>
      <c r="U401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401" s="43">
        <f>IFERROR(--(tblHistory[[#This Row],[Score]]&gt;=50),0)</f>
        <v/>
      </c>
      <c r="W401" s="43">
        <f>IFERROR(--AND(tblHistory[[#This Row],[Score]]&gt;=60,tblHistory[[#This Row],[BIZD S]]&gt;=0.8,tblHistory[[#This Row],[BKLN S]]&gt;=0.5),0)</f>
        <v/>
      </c>
      <c r="X401" s="43">
        <f>IFERROR(--AND(tblHistory[[#This Row],[Score]]&gt;=70,tblHistory[[#This Row],[SOX S]]&gt;=0.83,tblHistory[[#This Row],[AIQ S]]&gt;=0.8),0)</f>
        <v/>
      </c>
      <c r="Y401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401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401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401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401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402">
      <c r="A402" s="39" t="n">
        <v>45754</v>
      </c>
      <c r="B402" s="40" t="n">
        <v>21279.26</v>
      </c>
      <c r="C402" s="40" t="n">
        <v>7834.37</v>
      </c>
      <c r="D402" s="40" t="n">
        <v>37.68</v>
      </c>
      <c r="E402" s="40" t="n">
        <v>169.39</v>
      </c>
      <c r="F402" s="40" t="n">
        <v>34.18</v>
      </c>
      <c r="G402" s="40" t="n">
        <v>17.76</v>
      </c>
      <c r="H402" s="40" t="n">
        <v>20.45</v>
      </c>
      <c r="I402" s="41" t="n">
        <v>298</v>
      </c>
      <c r="J402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402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402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402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402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402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402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402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402" s="43">
        <f>(Dashboard!$C$13*tblHistory[[#This Row],[NDX S]]+Dashboard!$C$14*tblHistory[[#This Row],[SOX S]]+Dashboard!$C$15*tblHistory[[#This Row],[AIQ S]])/SUM(Dashboard!$C$13:$C$15)*100</f>
        <v/>
      </c>
      <c r="S402" s="43">
        <f>(Dashboard!$C$16*tblHistory[[#This Row],[ORCL S]]+Dashboard!$C$17*tblHistory[[#This Row],[CRWV S]])/SUM(Dashboard!$C$16:$C$17)*100</f>
        <v/>
      </c>
      <c r="T402" s="43">
        <f>(Dashboard!$C$18*tblHistory[[#This Row],[BIZD S]]+Dashboard!$C$19*tblHistory[[#This Row],[BKLN S]]+Dashboard!$C$20*tblHistory[[#This Row],[HY S]])/SUM(Dashboard!$C$18:$C$20)*100</f>
        <v/>
      </c>
      <c r="U402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402" s="43">
        <f>IFERROR(--(tblHistory[[#This Row],[Score]]&gt;=50),0)</f>
        <v/>
      </c>
      <c r="W402" s="43">
        <f>IFERROR(--AND(tblHistory[[#This Row],[Score]]&gt;=60,tblHistory[[#This Row],[BIZD S]]&gt;=0.8,tblHistory[[#This Row],[BKLN S]]&gt;=0.5),0)</f>
        <v/>
      </c>
      <c r="X402" s="43">
        <f>IFERROR(--AND(tblHistory[[#This Row],[Score]]&gt;=70,tblHistory[[#This Row],[SOX S]]&gt;=0.83,tblHistory[[#This Row],[AIQ S]]&gt;=0.8),0)</f>
        <v/>
      </c>
      <c r="Y402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402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402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402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402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403">
      <c r="A403" s="39" t="n">
        <v>45751</v>
      </c>
      <c r="B403" s="40" t="n">
        <v>21178.58</v>
      </c>
      <c r="C403" s="40" t="n">
        <v>7617.48</v>
      </c>
      <c r="D403" s="40" t="n">
        <v>37.97</v>
      </c>
      <c r="E403" s="40" t="n">
        <v>163.97</v>
      </c>
      <c r="F403" s="40" t="n">
        <v>34.33</v>
      </c>
      <c r="G403" s="40" t="n">
        <v>17.58</v>
      </c>
      <c r="H403" s="40" t="n">
        <v>20.45</v>
      </c>
      <c r="I403" s="41" t="n">
        <v>292</v>
      </c>
      <c r="J403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403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403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403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403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403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403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403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403" s="43">
        <f>(Dashboard!$C$13*tblHistory[[#This Row],[NDX S]]+Dashboard!$C$14*tblHistory[[#This Row],[SOX S]]+Dashboard!$C$15*tblHistory[[#This Row],[AIQ S]])/SUM(Dashboard!$C$13:$C$15)*100</f>
        <v/>
      </c>
      <c r="S403" s="43">
        <f>(Dashboard!$C$16*tblHistory[[#This Row],[ORCL S]]+Dashboard!$C$17*tblHistory[[#This Row],[CRWV S]])/SUM(Dashboard!$C$16:$C$17)*100</f>
        <v/>
      </c>
      <c r="T403" s="43">
        <f>(Dashboard!$C$18*tblHistory[[#This Row],[BIZD S]]+Dashboard!$C$19*tblHistory[[#This Row],[BKLN S]]+Dashboard!$C$20*tblHistory[[#This Row],[HY S]])/SUM(Dashboard!$C$18:$C$20)*100</f>
        <v/>
      </c>
      <c r="U403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403" s="43">
        <f>IFERROR(--(tblHistory[[#This Row],[Score]]&gt;=50),0)</f>
        <v/>
      </c>
      <c r="W403" s="43">
        <f>IFERROR(--AND(tblHistory[[#This Row],[Score]]&gt;=60,tblHistory[[#This Row],[BIZD S]]&gt;=0.8,tblHistory[[#This Row],[BKLN S]]&gt;=0.5),0)</f>
        <v/>
      </c>
      <c r="X403" s="43">
        <f>IFERROR(--AND(tblHistory[[#This Row],[Score]]&gt;=70,tblHistory[[#This Row],[SOX S]]&gt;=0.83,tblHistory[[#This Row],[AIQ S]]&gt;=0.8),0)</f>
        <v/>
      </c>
      <c r="Y403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403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403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403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403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404">
      <c r="A404" s="39" t="n">
        <v>45750</v>
      </c>
      <c r="B404" s="40" t="n">
        <v>20948.82</v>
      </c>
      <c r="C404" s="40" t="n">
        <v>7873.38</v>
      </c>
      <c r="D404" s="40" t="n">
        <v>37.77</v>
      </c>
      <c r="E404" s="40" t="n">
        <v>162.17</v>
      </c>
      <c r="F404" s="40" t="n">
        <v>33.76</v>
      </c>
      <c r="G404" s="40" t="n">
        <v>17.48</v>
      </c>
      <c r="H404" s="40" t="n">
        <v>20.49</v>
      </c>
      <c r="I404" s="41" t="n">
        <v>283</v>
      </c>
      <c r="J404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404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404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404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404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404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404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404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404" s="43">
        <f>(Dashboard!$C$13*tblHistory[[#This Row],[NDX S]]+Dashboard!$C$14*tblHistory[[#This Row],[SOX S]]+Dashboard!$C$15*tblHistory[[#This Row],[AIQ S]])/SUM(Dashboard!$C$13:$C$15)*100</f>
        <v/>
      </c>
      <c r="S404" s="43">
        <f>(Dashboard!$C$16*tblHistory[[#This Row],[ORCL S]]+Dashboard!$C$17*tblHistory[[#This Row],[CRWV S]])/SUM(Dashboard!$C$16:$C$17)*100</f>
        <v/>
      </c>
      <c r="T404" s="43">
        <f>(Dashboard!$C$18*tblHistory[[#This Row],[BIZD S]]+Dashboard!$C$19*tblHistory[[#This Row],[BKLN S]]+Dashboard!$C$20*tblHistory[[#This Row],[HY S]])/SUM(Dashboard!$C$18:$C$20)*100</f>
        <v/>
      </c>
      <c r="U404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404" s="43">
        <f>IFERROR(--(tblHistory[[#This Row],[Score]]&gt;=50),0)</f>
        <v/>
      </c>
      <c r="W404" s="43">
        <f>IFERROR(--AND(tblHistory[[#This Row],[Score]]&gt;=60,tblHistory[[#This Row],[BIZD S]]&gt;=0.8,tblHistory[[#This Row],[BKLN S]]&gt;=0.5),0)</f>
        <v/>
      </c>
      <c r="X404" s="43">
        <f>IFERROR(--AND(tblHistory[[#This Row],[Score]]&gt;=70,tblHistory[[#This Row],[SOX S]]&gt;=0.83,tblHistory[[#This Row],[AIQ S]]&gt;=0.8),0)</f>
        <v/>
      </c>
      <c r="Y404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404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404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404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404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405">
      <c r="A405" s="39" t="n">
        <v>45749</v>
      </c>
      <c r="B405" s="40" t="n">
        <v>20654.6</v>
      </c>
      <c r="C405" s="40" t="n">
        <v>7869.34</v>
      </c>
      <c r="D405" s="40" t="n">
        <v>38.68</v>
      </c>
      <c r="E405" s="40" t="n">
        <v>163.97</v>
      </c>
      <c r="F405" s="40" t="n">
        <v>35.34</v>
      </c>
      <c r="G405" s="40" t="n">
        <v>17.6</v>
      </c>
      <c r="H405" s="40" t="n">
        <v>20.51</v>
      </c>
      <c r="I405" s="41" t="n">
        <v>288</v>
      </c>
      <c r="J405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405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405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405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405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405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405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405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405" s="43">
        <f>(Dashboard!$C$13*tblHistory[[#This Row],[NDX S]]+Dashboard!$C$14*tblHistory[[#This Row],[SOX S]]+Dashboard!$C$15*tblHistory[[#This Row],[AIQ S]])/SUM(Dashboard!$C$13:$C$15)*100</f>
        <v/>
      </c>
      <c r="S405" s="43">
        <f>(Dashboard!$C$16*tblHistory[[#This Row],[ORCL S]]+Dashboard!$C$17*tblHistory[[#This Row],[CRWV S]])/SUM(Dashboard!$C$16:$C$17)*100</f>
        <v/>
      </c>
      <c r="T405" s="43">
        <f>(Dashboard!$C$18*tblHistory[[#This Row],[BIZD S]]+Dashboard!$C$19*tblHistory[[#This Row],[BKLN S]]+Dashboard!$C$20*tblHistory[[#This Row],[HY S]])/SUM(Dashboard!$C$18:$C$20)*100</f>
        <v/>
      </c>
      <c r="U405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405" s="43">
        <f>IFERROR(--(tblHistory[[#This Row],[Score]]&gt;=50),0)</f>
        <v/>
      </c>
      <c r="W405" s="43">
        <f>IFERROR(--AND(tblHistory[[#This Row],[Score]]&gt;=60,tblHistory[[#This Row],[BIZD S]]&gt;=0.8,tblHistory[[#This Row],[BKLN S]]&gt;=0.5),0)</f>
        <v/>
      </c>
      <c r="X405" s="43">
        <f>IFERROR(--AND(tblHistory[[#This Row],[Score]]&gt;=70,tblHistory[[#This Row],[SOX S]]&gt;=0.83,tblHistory[[#This Row],[AIQ S]]&gt;=0.8),0)</f>
        <v/>
      </c>
      <c r="Y405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405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405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405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405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406">
      <c r="A406" s="39" t="n">
        <v>45748</v>
      </c>
      <c r="B406" s="40" t="n">
        <v>20486.37</v>
      </c>
      <c r="C406" s="40" t="n">
        <v>7866.25</v>
      </c>
      <c r="D406" s="40" t="n">
        <v>39.88</v>
      </c>
      <c r="E406" s="40" t="n">
        <v>169.46</v>
      </c>
      <c r="F406" s="40" t="n">
        <v>36.25</v>
      </c>
      <c r="G406" s="40" t="n">
        <v>17.38</v>
      </c>
      <c r="H406" s="40" t="n">
        <v>20.5</v>
      </c>
      <c r="I406" s="41" t="n">
        <v>284</v>
      </c>
      <c r="J406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406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406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406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406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406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406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406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406" s="43">
        <f>(Dashboard!$C$13*tblHistory[[#This Row],[NDX S]]+Dashboard!$C$14*tblHistory[[#This Row],[SOX S]]+Dashboard!$C$15*tblHistory[[#This Row],[AIQ S]])/SUM(Dashboard!$C$13:$C$15)*100</f>
        <v/>
      </c>
      <c r="S406" s="43">
        <f>(Dashboard!$C$16*tblHistory[[#This Row],[ORCL S]]+Dashboard!$C$17*tblHistory[[#This Row],[CRWV S]])/SUM(Dashboard!$C$16:$C$17)*100</f>
        <v/>
      </c>
      <c r="T406" s="43">
        <f>(Dashboard!$C$18*tblHistory[[#This Row],[BIZD S]]+Dashboard!$C$19*tblHistory[[#This Row],[BKLN S]]+Dashboard!$C$20*tblHistory[[#This Row],[HY S]])/SUM(Dashboard!$C$18:$C$20)*100</f>
        <v/>
      </c>
      <c r="U406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406" s="43">
        <f>IFERROR(--(tblHistory[[#This Row],[Score]]&gt;=50),0)</f>
        <v/>
      </c>
      <c r="W406" s="43">
        <f>IFERROR(--AND(tblHistory[[#This Row],[Score]]&gt;=60,tblHistory[[#This Row],[BIZD S]]&gt;=0.8,tblHistory[[#This Row],[BKLN S]]&gt;=0.5),0)</f>
        <v/>
      </c>
      <c r="X406" s="43">
        <f>IFERROR(--AND(tblHistory[[#This Row],[Score]]&gt;=70,tblHistory[[#This Row],[SOX S]]&gt;=0.83,tblHistory[[#This Row],[AIQ S]]&gt;=0.8),0)</f>
        <v/>
      </c>
      <c r="Y406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406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406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406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406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407">
      <c r="A407" s="39" t="n">
        <v>45747</v>
      </c>
      <c r="B407" s="40" t="n">
        <v>20668.36</v>
      </c>
      <c r="C407" s="40" t="n">
        <v>7964.49</v>
      </c>
      <c r="D407" s="40" t="n">
        <v>40.6</v>
      </c>
      <c r="E407" s="40" t="n">
        <v>168.16</v>
      </c>
      <c r="F407" s="40" t="n">
        <v>37.44</v>
      </c>
      <c r="G407" s="40" t="n">
        <v>17.49</v>
      </c>
      <c r="H407" s="40" t="n">
        <v>20.51</v>
      </c>
      <c r="I407" s="41" t="n">
        <v>289</v>
      </c>
      <c r="J407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407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407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407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407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407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407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407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407" s="43">
        <f>(Dashboard!$C$13*tblHistory[[#This Row],[NDX S]]+Dashboard!$C$14*tblHistory[[#This Row],[SOX S]]+Dashboard!$C$15*tblHistory[[#This Row],[AIQ S]])/SUM(Dashboard!$C$13:$C$15)*100</f>
        <v/>
      </c>
      <c r="S407" s="43">
        <f>(Dashboard!$C$16*tblHistory[[#This Row],[ORCL S]]+Dashboard!$C$17*tblHistory[[#This Row],[CRWV S]])/SUM(Dashboard!$C$16:$C$17)*100</f>
        <v/>
      </c>
      <c r="T407" s="43">
        <f>(Dashboard!$C$18*tblHistory[[#This Row],[BIZD S]]+Dashboard!$C$19*tblHistory[[#This Row],[BKLN S]]+Dashboard!$C$20*tblHistory[[#This Row],[HY S]])/SUM(Dashboard!$C$18:$C$20)*100</f>
        <v/>
      </c>
      <c r="U407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407" s="43">
        <f>IFERROR(--(tblHistory[[#This Row],[Score]]&gt;=50),0)</f>
        <v/>
      </c>
      <c r="W407" s="43">
        <f>IFERROR(--AND(tblHistory[[#This Row],[Score]]&gt;=60,tblHistory[[#This Row],[BIZD S]]&gt;=0.8,tblHistory[[#This Row],[BKLN S]]&gt;=0.5),0)</f>
        <v/>
      </c>
      <c r="X407" s="43">
        <f>IFERROR(--AND(tblHistory[[#This Row],[Score]]&gt;=70,tblHistory[[#This Row],[SOX S]]&gt;=0.83,tblHistory[[#This Row],[AIQ S]]&gt;=0.8),0)</f>
        <v/>
      </c>
      <c r="Y407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407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407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407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407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408">
      <c r="A408" s="39" t="n">
        <v>45744</v>
      </c>
      <c r="B408" s="40" t="n">
        <v>20972.75</v>
      </c>
      <c r="C408" s="40" t="n">
        <v>7824.31</v>
      </c>
      <c r="D408" s="40" t="n">
        <v>41.17</v>
      </c>
      <c r="E408" s="40" t="n">
        <v>168.84</v>
      </c>
      <c r="F408" s="40" t="n">
        <v>40.86</v>
      </c>
      <c r="G408" s="40" t="n">
        <v>17.38</v>
      </c>
      <c r="H408" s="40" t="n">
        <v>20.56</v>
      </c>
      <c r="I408" s="41" t="n">
        <v>285</v>
      </c>
      <c r="J408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408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408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408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408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408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408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408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408" s="43">
        <f>(Dashboard!$C$13*tblHistory[[#This Row],[NDX S]]+Dashboard!$C$14*tblHistory[[#This Row],[SOX S]]+Dashboard!$C$15*tblHistory[[#This Row],[AIQ S]])/SUM(Dashboard!$C$13:$C$15)*100</f>
        <v/>
      </c>
      <c r="S408" s="43">
        <f>(Dashboard!$C$16*tblHistory[[#This Row],[ORCL S]]+Dashboard!$C$17*tblHistory[[#This Row],[CRWV S]])/SUM(Dashboard!$C$16:$C$17)*100</f>
        <v/>
      </c>
      <c r="T408" s="43">
        <f>(Dashboard!$C$18*tblHistory[[#This Row],[BIZD S]]+Dashboard!$C$19*tblHistory[[#This Row],[BKLN S]]+Dashboard!$C$20*tblHistory[[#This Row],[HY S]])/SUM(Dashboard!$C$18:$C$20)*100</f>
        <v/>
      </c>
      <c r="U408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408" s="43">
        <f>IFERROR(--(tblHistory[[#This Row],[Score]]&gt;=50),0)</f>
        <v/>
      </c>
      <c r="W408" s="43">
        <f>IFERROR(--AND(tblHistory[[#This Row],[Score]]&gt;=60,tblHistory[[#This Row],[BIZD S]]&gt;=0.8,tblHistory[[#This Row],[BKLN S]]&gt;=0.5),0)</f>
        <v/>
      </c>
      <c r="X408" s="43">
        <f>IFERROR(--AND(tblHistory[[#This Row],[Score]]&gt;=70,tblHistory[[#This Row],[SOX S]]&gt;=0.83,tblHistory[[#This Row],[AIQ S]]&gt;=0.8),0)</f>
        <v/>
      </c>
      <c r="Y408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408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408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408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408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409">
      <c r="A409" s="39" t="n">
        <v>45743</v>
      </c>
      <c r="B409" s="40" t="n">
        <v>20645.49</v>
      </c>
      <c r="C409" s="40" t="n">
        <v>7771.98</v>
      </c>
      <c r="D409" s="40" t="n">
        <v>41.71</v>
      </c>
      <c r="E409" s="40" t="n">
        <v>175.69</v>
      </c>
      <c r="F409" s="40" t="n"/>
      <c r="G409" s="40" t="n">
        <v>17.49</v>
      </c>
      <c r="H409" s="40" t="n">
        <v>20.59</v>
      </c>
      <c r="I409" s="41" t="n">
        <v>282</v>
      </c>
      <c r="J409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409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409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409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409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409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409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409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409" s="43">
        <f>(Dashboard!$C$13*tblHistory[[#This Row],[NDX S]]+Dashboard!$C$14*tblHistory[[#This Row],[SOX S]]+Dashboard!$C$15*tblHistory[[#This Row],[AIQ S]])/SUM(Dashboard!$C$13:$C$15)*100</f>
        <v/>
      </c>
      <c r="S409" s="43">
        <f>(Dashboard!$C$16*tblHistory[[#This Row],[ORCL S]]+Dashboard!$C$17*tblHistory[[#This Row],[CRWV S]])/SUM(Dashboard!$C$16:$C$17)*100</f>
        <v/>
      </c>
      <c r="T409" s="43">
        <f>(Dashboard!$C$18*tblHistory[[#This Row],[BIZD S]]+Dashboard!$C$19*tblHistory[[#This Row],[BKLN S]]+Dashboard!$C$20*tblHistory[[#This Row],[HY S]])/SUM(Dashboard!$C$18:$C$20)*100</f>
        <v/>
      </c>
      <c r="U409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409" s="43">
        <f>IFERROR(--(tblHistory[[#This Row],[Score]]&gt;=50),0)</f>
        <v/>
      </c>
      <c r="W409" s="43">
        <f>IFERROR(--AND(tblHistory[[#This Row],[Score]]&gt;=60,tblHistory[[#This Row],[BIZD S]]&gt;=0.8,tblHistory[[#This Row],[BKLN S]]&gt;=0.5),0)</f>
        <v/>
      </c>
      <c r="X409" s="43">
        <f>IFERROR(--AND(tblHistory[[#This Row],[Score]]&gt;=70,tblHistory[[#This Row],[SOX S]]&gt;=0.83,tblHistory[[#This Row],[AIQ S]]&gt;=0.8),0)</f>
        <v/>
      </c>
      <c r="Y409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409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409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409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409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410">
      <c r="A410" s="39" t="n">
        <v>45742</v>
      </c>
      <c r="B410" s="40" t="n">
        <v>20888.95</v>
      </c>
      <c r="C410" s="40" t="n">
        <v>7542.55</v>
      </c>
      <c r="D410" s="40" t="n">
        <v>40.52</v>
      </c>
      <c r="E410" s="40" t="n">
        <v>178.68</v>
      </c>
      <c r="F410" s="40" t="n"/>
      <c r="G410" s="40" t="n">
        <v>17.36</v>
      </c>
      <c r="H410" s="40" t="n">
        <v>20.59</v>
      </c>
      <c r="I410" s="41" t="n">
        <v>282</v>
      </c>
      <c r="J410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410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410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410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410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410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410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410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410" s="43">
        <f>(Dashboard!$C$13*tblHistory[[#This Row],[NDX S]]+Dashboard!$C$14*tblHistory[[#This Row],[SOX S]]+Dashboard!$C$15*tblHistory[[#This Row],[AIQ S]])/SUM(Dashboard!$C$13:$C$15)*100</f>
        <v/>
      </c>
      <c r="S410" s="43">
        <f>(Dashboard!$C$16*tblHistory[[#This Row],[ORCL S]]+Dashboard!$C$17*tblHistory[[#This Row],[CRWV S]])/SUM(Dashboard!$C$16:$C$17)*100</f>
        <v/>
      </c>
      <c r="T410" s="43">
        <f>(Dashboard!$C$18*tblHistory[[#This Row],[BIZD S]]+Dashboard!$C$19*tblHistory[[#This Row],[BKLN S]]+Dashboard!$C$20*tblHistory[[#This Row],[HY S]])/SUM(Dashboard!$C$18:$C$20)*100</f>
        <v/>
      </c>
      <c r="U410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410" s="43">
        <f>IFERROR(--(tblHistory[[#This Row],[Score]]&gt;=50),0)</f>
        <v/>
      </c>
      <c r="W410" s="43">
        <f>IFERROR(--AND(tblHistory[[#This Row],[Score]]&gt;=60,tblHistory[[#This Row],[BIZD S]]&gt;=0.8,tblHistory[[#This Row],[BKLN S]]&gt;=0.5),0)</f>
        <v/>
      </c>
      <c r="X410" s="43">
        <f>IFERROR(--AND(tblHistory[[#This Row],[Score]]&gt;=70,tblHistory[[#This Row],[SOX S]]&gt;=0.83,tblHistory[[#This Row],[AIQ S]]&gt;=0.8),0)</f>
        <v/>
      </c>
      <c r="Y410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410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410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410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410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411">
      <c r="A411" s="39" t="n">
        <v>45741</v>
      </c>
      <c r="B411" s="40" t="n">
        <v>20527.45</v>
      </c>
      <c r="C411" s="40" t="n">
        <v>7558.85</v>
      </c>
      <c r="D411" s="40" t="n">
        <v>40.42</v>
      </c>
      <c r="E411" s="40" t="n">
        <v>183.83</v>
      </c>
      <c r="F411" s="40" t="n"/>
      <c r="G411" s="40" t="n">
        <v>17.48</v>
      </c>
      <c r="H411" s="40" t="n">
        <v>20.66</v>
      </c>
      <c r="I411" s="41" t="n">
        <v>273</v>
      </c>
      <c r="J411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411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411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411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411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411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411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411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411" s="43">
        <f>(Dashboard!$C$13*tblHistory[[#This Row],[NDX S]]+Dashboard!$C$14*tblHistory[[#This Row],[SOX S]]+Dashboard!$C$15*tblHistory[[#This Row],[AIQ S]])/SUM(Dashboard!$C$13:$C$15)*100</f>
        <v/>
      </c>
      <c r="S411" s="43">
        <f>(Dashboard!$C$16*tblHistory[[#This Row],[ORCL S]]+Dashboard!$C$17*tblHistory[[#This Row],[CRWV S]])/SUM(Dashboard!$C$16:$C$17)*100</f>
        <v/>
      </c>
      <c r="T411" s="43">
        <f>(Dashboard!$C$18*tblHistory[[#This Row],[BIZD S]]+Dashboard!$C$19*tblHistory[[#This Row],[BKLN S]]+Dashboard!$C$20*tblHistory[[#This Row],[HY S]])/SUM(Dashboard!$C$18:$C$20)*100</f>
        <v/>
      </c>
      <c r="U411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411" s="43">
        <f>IFERROR(--(tblHistory[[#This Row],[Score]]&gt;=50),0)</f>
        <v/>
      </c>
      <c r="W411" s="43">
        <f>IFERROR(--AND(tblHistory[[#This Row],[Score]]&gt;=60,tblHistory[[#This Row],[BIZD S]]&gt;=0.8,tblHistory[[#This Row],[BKLN S]]&gt;=0.5),0)</f>
        <v/>
      </c>
      <c r="X411" s="43">
        <f>IFERROR(--AND(tblHistory[[#This Row],[Score]]&gt;=70,tblHistory[[#This Row],[SOX S]]&gt;=0.83,tblHistory[[#This Row],[AIQ S]]&gt;=0.8),0)</f>
        <v/>
      </c>
      <c r="Y411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411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411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411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411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412">
      <c r="A412" s="39" t="n">
        <v>45740</v>
      </c>
      <c r="B412" s="40" t="n">
        <v>20588.63</v>
      </c>
      <c r="C412" s="40" t="n">
        <v>7532.56</v>
      </c>
      <c r="D412" s="40" t="n">
        <v>40.71</v>
      </c>
      <c r="E412" s="40" t="n">
        <v>179.76</v>
      </c>
      <c r="F412" s="40" t="n"/>
      <c r="G412" s="40" t="n">
        <v>17.51</v>
      </c>
      <c r="H412" s="40" t="n">
        <v>20.64</v>
      </c>
      <c r="I412" s="41" t="n">
        <v>265</v>
      </c>
      <c r="J412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412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412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412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412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412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412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412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412" s="43">
        <f>(Dashboard!$C$13*tblHistory[[#This Row],[NDX S]]+Dashboard!$C$14*tblHistory[[#This Row],[SOX S]]+Dashboard!$C$15*tblHistory[[#This Row],[AIQ S]])/SUM(Dashboard!$C$13:$C$15)*100</f>
        <v/>
      </c>
      <c r="S412" s="43">
        <f>(Dashboard!$C$16*tblHistory[[#This Row],[ORCL S]]+Dashboard!$C$17*tblHistory[[#This Row],[CRWV S]])/SUM(Dashboard!$C$16:$C$17)*100</f>
        <v/>
      </c>
      <c r="T412" s="43">
        <f>(Dashboard!$C$18*tblHistory[[#This Row],[BIZD S]]+Dashboard!$C$19*tblHistory[[#This Row],[BKLN S]]+Dashboard!$C$20*tblHistory[[#This Row],[HY S]])/SUM(Dashboard!$C$18:$C$20)*100</f>
        <v/>
      </c>
      <c r="U412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412" s="43">
        <f>IFERROR(--(tblHistory[[#This Row],[Score]]&gt;=50),0)</f>
        <v/>
      </c>
      <c r="W412" s="43">
        <f>IFERROR(--AND(tblHistory[[#This Row],[Score]]&gt;=60,tblHistory[[#This Row],[BIZD S]]&gt;=0.8,tblHistory[[#This Row],[BKLN S]]&gt;=0.5),0)</f>
        <v/>
      </c>
      <c r="X412" s="43">
        <f>IFERROR(--AND(tblHistory[[#This Row],[Score]]&gt;=70,tblHistory[[#This Row],[SOX S]]&gt;=0.83,tblHistory[[#This Row],[AIQ S]]&gt;=0.8),0)</f>
        <v/>
      </c>
      <c r="Y412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412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412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412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412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413">
      <c r="A413" s="39" t="n">
        <v>45737</v>
      </c>
      <c r="B413" s="40" t="n">
        <v>20613.11</v>
      </c>
      <c r="C413" s="40" t="n">
        <v>7607.02</v>
      </c>
      <c r="D413" s="40" t="n">
        <v>40.35</v>
      </c>
      <c r="E413" s="40" t="n">
        <v>180.88</v>
      </c>
      <c r="F413" s="40" t="n"/>
      <c r="G413" s="40" t="n">
        <v>17.41</v>
      </c>
      <c r="H413" s="40" t="n">
        <v>20.68</v>
      </c>
      <c r="I413" s="41" t="n">
        <v>275</v>
      </c>
      <c r="J413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413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413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413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413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413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413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413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413" s="43">
        <f>(Dashboard!$C$13*tblHistory[[#This Row],[NDX S]]+Dashboard!$C$14*tblHistory[[#This Row],[SOX S]]+Dashboard!$C$15*tblHistory[[#This Row],[AIQ S]])/SUM(Dashboard!$C$13:$C$15)*100</f>
        <v/>
      </c>
      <c r="S413" s="43">
        <f>(Dashboard!$C$16*tblHistory[[#This Row],[ORCL S]]+Dashboard!$C$17*tblHistory[[#This Row],[CRWV S]])/SUM(Dashboard!$C$16:$C$17)*100</f>
        <v/>
      </c>
      <c r="T413" s="43">
        <f>(Dashboard!$C$18*tblHistory[[#This Row],[BIZD S]]+Dashboard!$C$19*tblHistory[[#This Row],[BKLN S]]+Dashboard!$C$20*tblHistory[[#This Row],[HY S]])/SUM(Dashboard!$C$18:$C$20)*100</f>
        <v/>
      </c>
      <c r="U413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413" s="43">
        <f>IFERROR(--(tblHistory[[#This Row],[Score]]&gt;=50),0)</f>
        <v/>
      </c>
      <c r="W413" s="43">
        <f>IFERROR(--AND(tblHistory[[#This Row],[Score]]&gt;=60,tblHistory[[#This Row],[BIZD S]]&gt;=0.8,tblHistory[[#This Row],[BKLN S]]&gt;=0.5),0)</f>
        <v/>
      </c>
      <c r="X413" s="43">
        <f>IFERROR(--AND(tblHistory[[#This Row],[Score]]&gt;=70,tblHistory[[#This Row],[SOX S]]&gt;=0.83,tblHistory[[#This Row],[AIQ S]]&gt;=0.8),0)</f>
        <v/>
      </c>
      <c r="Y413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413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413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413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413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414">
      <c r="A414" s="39" t="n">
        <v>45736</v>
      </c>
      <c r="B414" s="40" t="n">
        <v>20634.08</v>
      </c>
      <c r="C414" s="40" t="n">
        <v>7337.39</v>
      </c>
      <c r="D414" s="40" t="n">
        <v>40.79</v>
      </c>
      <c r="E414" s="40" t="n">
        <v>183.36</v>
      </c>
      <c r="F414" s="40" t="n"/>
      <c r="G414" s="40" t="n">
        <v>17.39</v>
      </c>
      <c r="H414" s="40" t="n">
        <v>20.67</v>
      </c>
      <c r="I414" s="41" t="n">
        <v>285</v>
      </c>
      <c r="J414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414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414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414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414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414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414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414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414" s="43">
        <f>(Dashboard!$C$13*tblHistory[[#This Row],[NDX S]]+Dashboard!$C$14*tblHistory[[#This Row],[SOX S]]+Dashboard!$C$15*tblHistory[[#This Row],[AIQ S]])/SUM(Dashboard!$C$13:$C$15)*100</f>
        <v/>
      </c>
      <c r="S414" s="43">
        <f>(Dashboard!$C$16*tblHistory[[#This Row],[ORCL S]]+Dashboard!$C$17*tblHistory[[#This Row],[CRWV S]])/SUM(Dashboard!$C$16:$C$17)*100</f>
        <v/>
      </c>
      <c r="T414" s="43">
        <f>(Dashboard!$C$18*tblHistory[[#This Row],[BIZD S]]+Dashboard!$C$19*tblHistory[[#This Row],[BKLN S]]+Dashboard!$C$20*tblHistory[[#This Row],[HY S]])/SUM(Dashboard!$C$18:$C$20)*100</f>
        <v/>
      </c>
      <c r="U414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414" s="43">
        <f>IFERROR(--(tblHistory[[#This Row],[Score]]&gt;=50),0)</f>
        <v/>
      </c>
      <c r="W414" s="43">
        <f>IFERROR(--AND(tblHistory[[#This Row],[Score]]&gt;=60,tblHistory[[#This Row],[BIZD S]]&gt;=0.8,tblHistory[[#This Row],[BKLN S]]&gt;=0.5),0)</f>
        <v/>
      </c>
      <c r="X414" s="43">
        <f>IFERROR(--AND(tblHistory[[#This Row],[Score]]&gt;=70,tblHistory[[#This Row],[SOX S]]&gt;=0.83,tblHistory[[#This Row],[AIQ S]]&gt;=0.8),0)</f>
        <v/>
      </c>
      <c r="Y414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414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414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414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414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415">
      <c r="A415" s="39" t="n">
        <v>45735</v>
      </c>
      <c r="B415" s="40" t="n">
        <v>20966.04</v>
      </c>
      <c r="C415" s="40" t="n">
        <v>7243.63</v>
      </c>
      <c r="D415" s="40" t="n">
        <v>40.78</v>
      </c>
      <c r="E415" s="40" t="n">
        <v>190.15</v>
      </c>
      <c r="F415" s="40" t="n"/>
      <c r="G415" s="40" t="n">
        <v>17.37</v>
      </c>
      <c r="H415" s="40" t="n">
        <v>20.74</v>
      </c>
      <c r="I415" s="41" t="n">
        <v>287</v>
      </c>
      <c r="J415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415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415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415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415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415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415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415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415" s="43">
        <f>(Dashboard!$C$13*tblHistory[[#This Row],[NDX S]]+Dashboard!$C$14*tblHistory[[#This Row],[SOX S]]+Dashboard!$C$15*tblHistory[[#This Row],[AIQ S]])/SUM(Dashboard!$C$13:$C$15)*100</f>
        <v/>
      </c>
      <c r="S415" s="43">
        <f>(Dashboard!$C$16*tblHistory[[#This Row],[ORCL S]]+Dashboard!$C$17*tblHistory[[#This Row],[CRWV S]])/SUM(Dashboard!$C$16:$C$17)*100</f>
        <v/>
      </c>
      <c r="T415" s="43">
        <f>(Dashboard!$C$18*tblHistory[[#This Row],[BIZD S]]+Dashboard!$C$19*tblHistory[[#This Row],[BKLN S]]+Dashboard!$C$20*tblHistory[[#This Row],[HY S]])/SUM(Dashboard!$C$18:$C$20)*100</f>
        <v/>
      </c>
      <c r="U415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415" s="43">
        <f>IFERROR(--(tblHistory[[#This Row],[Score]]&gt;=50),0)</f>
        <v/>
      </c>
      <c r="W415" s="43">
        <f>IFERROR(--AND(tblHistory[[#This Row],[Score]]&gt;=60,tblHistory[[#This Row],[BIZD S]]&gt;=0.8,tblHistory[[#This Row],[BKLN S]]&gt;=0.5),0)</f>
        <v/>
      </c>
      <c r="X415" s="43">
        <f>IFERROR(--AND(tblHistory[[#This Row],[Score]]&gt;=70,tblHistory[[#This Row],[SOX S]]&gt;=0.83,tblHistory[[#This Row],[AIQ S]]&gt;=0.8),0)</f>
        <v/>
      </c>
      <c r="Y415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415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415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415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415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416">
      <c r="A416" s="39" t="n">
        <v>45734</v>
      </c>
      <c r="B416" s="40" t="n">
        <v>21065.61</v>
      </c>
      <c r="C416" s="40" t="n">
        <v>7360.34</v>
      </c>
      <c r="D416" s="40" t="n">
        <v>42.05</v>
      </c>
      <c r="E416" s="40" t="n">
        <v>187.13</v>
      </c>
      <c r="F416" s="40" t="n"/>
      <c r="G416" s="40" t="n">
        <v>17.21</v>
      </c>
      <c r="H416" s="40" t="n">
        <v>20.77</v>
      </c>
      <c r="I416" s="41" t="n">
        <v>288</v>
      </c>
      <c r="J416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416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416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416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416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416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416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416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416" s="43">
        <f>(Dashboard!$C$13*tblHistory[[#This Row],[NDX S]]+Dashboard!$C$14*tblHistory[[#This Row],[SOX S]]+Dashboard!$C$15*tblHistory[[#This Row],[AIQ S]])/SUM(Dashboard!$C$13:$C$15)*100</f>
        <v/>
      </c>
      <c r="S416" s="43">
        <f>(Dashboard!$C$16*tblHistory[[#This Row],[ORCL S]]+Dashboard!$C$17*tblHistory[[#This Row],[CRWV S]])/SUM(Dashboard!$C$16:$C$17)*100</f>
        <v/>
      </c>
      <c r="T416" s="43">
        <f>(Dashboard!$C$18*tblHistory[[#This Row],[BIZD S]]+Dashboard!$C$19*tblHistory[[#This Row],[BKLN S]]+Dashboard!$C$20*tblHistory[[#This Row],[HY S]])/SUM(Dashboard!$C$18:$C$20)*100</f>
        <v/>
      </c>
      <c r="U416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416" s="43">
        <f>IFERROR(--(tblHistory[[#This Row],[Score]]&gt;=50),0)</f>
        <v/>
      </c>
      <c r="W416" s="43">
        <f>IFERROR(--AND(tblHistory[[#This Row],[Score]]&gt;=60,tblHistory[[#This Row],[BIZD S]]&gt;=0.8,tblHistory[[#This Row],[BKLN S]]&gt;=0.5),0)</f>
        <v/>
      </c>
      <c r="X416" s="43">
        <f>IFERROR(--AND(tblHistory[[#This Row],[Score]]&gt;=70,tblHistory[[#This Row],[SOX S]]&gt;=0.83,tblHistory[[#This Row],[AIQ S]]&gt;=0.8),0)</f>
        <v/>
      </c>
      <c r="Y416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416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416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416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416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417">
      <c r="A417" s="39" t="n">
        <v>45733</v>
      </c>
      <c r="B417" s="40" t="n">
        <v>20685.98</v>
      </c>
      <c r="C417" s="40" t="n">
        <v>7251.23</v>
      </c>
      <c r="D417" s="40" t="n">
        <v>42.07</v>
      </c>
      <c r="E417" s="40" t="n">
        <v>185.13</v>
      </c>
      <c r="F417" s="40" t="n"/>
      <c r="G417" s="40" t="n">
        <v>17.09</v>
      </c>
      <c r="H417" s="40" t="n">
        <v>20.75</v>
      </c>
      <c r="I417" s="41" t="n">
        <v>285</v>
      </c>
      <c r="J417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417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417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417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417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417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417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417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417" s="43">
        <f>(Dashboard!$C$13*tblHistory[[#This Row],[NDX S]]+Dashboard!$C$14*tblHistory[[#This Row],[SOX S]]+Dashboard!$C$15*tblHistory[[#This Row],[AIQ S]])/SUM(Dashboard!$C$13:$C$15)*100</f>
        <v/>
      </c>
      <c r="S417" s="43">
        <f>(Dashboard!$C$16*tblHistory[[#This Row],[ORCL S]]+Dashboard!$C$17*tblHistory[[#This Row],[CRWV S]])/SUM(Dashboard!$C$16:$C$17)*100</f>
        <v/>
      </c>
      <c r="T417" s="43">
        <f>(Dashboard!$C$18*tblHistory[[#This Row],[BIZD S]]+Dashboard!$C$19*tblHistory[[#This Row],[BKLN S]]+Dashboard!$C$20*tblHistory[[#This Row],[HY S]])/SUM(Dashboard!$C$18:$C$20)*100</f>
        <v/>
      </c>
      <c r="U417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417" s="43">
        <f>IFERROR(--(tblHistory[[#This Row],[Score]]&gt;=50),0)</f>
        <v/>
      </c>
      <c r="W417" s="43">
        <f>IFERROR(--AND(tblHistory[[#This Row],[Score]]&gt;=60,tblHistory[[#This Row],[BIZD S]]&gt;=0.8,tblHistory[[#This Row],[BKLN S]]&gt;=0.5),0)</f>
        <v/>
      </c>
      <c r="X417" s="43">
        <f>IFERROR(--AND(tblHistory[[#This Row],[Score]]&gt;=70,tblHistory[[#This Row],[SOX S]]&gt;=0.83,tblHistory[[#This Row],[AIQ S]]&gt;=0.8),0)</f>
        <v/>
      </c>
      <c r="Y417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417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417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417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417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418">
      <c r="A418" s="39" t="n">
        <v>45730</v>
      </c>
      <c r="B418" s="40" t="n">
        <v>20440.1</v>
      </c>
      <c r="C418" s="40" t="n">
        <v>7259.87</v>
      </c>
      <c r="D418" s="40" t="n">
        <v>41.65</v>
      </c>
      <c r="E418" s="40" t="n">
        <v>178.35</v>
      </c>
      <c r="F418" s="40" t="n"/>
      <c r="G418" s="40" t="n">
        <v>17.08</v>
      </c>
      <c r="H418" s="40" t="n">
        <v>20.74</v>
      </c>
      <c r="I418" s="41" t="n">
        <v>282</v>
      </c>
      <c r="J418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418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418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418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418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418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418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418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418" s="43">
        <f>(Dashboard!$C$13*tblHistory[[#This Row],[NDX S]]+Dashboard!$C$14*tblHistory[[#This Row],[SOX S]]+Dashboard!$C$15*tblHistory[[#This Row],[AIQ S]])/SUM(Dashboard!$C$13:$C$15)*100</f>
        <v/>
      </c>
      <c r="S418" s="43">
        <f>(Dashboard!$C$16*tblHistory[[#This Row],[ORCL S]]+Dashboard!$C$17*tblHistory[[#This Row],[CRWV S]])/SUM(Dashboard!$C$16:$C$17)*100</f>
        <v/>
      </c>
      <c r="T418" s="43">
        <f>(Dashboard!$C$18*tblHistory[[#This Row],[BIZD S]]+Dashboard!$C$19*tblHistory[[#This Row],[BKLN S]]+Dashboard!$C$20*tblHistory[[#This Row],[HY S]])/SUM(Dashboard!$C$18:$C$20)*100</f>
        <v/>
      </c>
      <c r="U418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418" s="43">
        <f>IFERROR(--(tblHistory[[#This Row],[Score]]&gt;=50),0)</f>
        <v/>
      </c>
      <c r="W418" s="43">
        <f>IFERROR(--AND(tblHistory[[#This Row],[Score]]&gt;=60,tblHistory[[#This Row],[BIZD S]]&gt;=0.8,tblHistory[[#This Row],[BKLN S]]&gt;=0.5),0)</f>
        <v/>
      </c>
      <c r="X418" s="43">
        <f>IFERROR(--AND(tblHistory[[#This Row],[Score]]&gt;=70,tblHistory[[#This Row],[SOX S]]&gt;=0.83,tblHistory[[#This Row],[AIQ S]]&gt;=0.8),0)</f>
        <v/>
      </c>
      <c r="Y418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418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418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418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418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419">
      <c r="A419" s="39" t="n">
        <v>45729</v>
      </c>
      <c r="B419" s="40" t="n">
        <v>20644.81</v>
      </c>
      <c r="C419" s="40" t="n">
        <v>7328.13</v>
      </c>
      <c r="D419" s="40" t="n">
        <v>41.65</v>
      </c>
      <c r="E419" s="40" t="n">
        <v>185.16</v>
      </c>
      <c r="F419" s="40" t="n"/>
      <c r="G419" s="40" t="n">
        <v>17.12</v>
      </c>
      <c r="H419" s="40" t="n">
        <v>20.78</v>
      </c>
      <c r="I419" s="41" t="n">
        <v>284</v>
      </c>
      <c r="J419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419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419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419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419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419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419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419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419" s="43">
        <f>(Dashboard!$C$13*tblHistory[[#This Row],[NDX S]]+Dashboard!$C$14*tblHistory[[#This Row],[SOX S]]+Dashboard!$C$15*tblHistory[[#This Row],[AIQ S]])/SUM(Dashboard!$C$13:$C$15)*100</f>
        <v/>
      </c>
      <c r="S419" s="43">
        <f>(Dashboard!$C$16*tblHistory[[#This Row],[ORCL S]]+Dashboard!$C$17*tblHistory[[#This Row],[CRWV S]])/SUM(Dashboard!$C$16:$C$17)*100</f>
        <v/>
      </c>
      <c r="T419" s="43">
        <f>(Dashboard!$C$18*tblHistory[[#This Row],[BIZD S]]+Dashboard!$C$19*tblHistory[[#This Row],[BKLN S]]+Dashboard!$C$20*tblHistory[[#This Row],[HY S]])/SUM(Dashboard!$C$18:$C$20)*100</f>
        <v/>
      </c>
      <c r="U419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419" s="43">
        <f>IFERROR(--(tblHistory[[#This Row],[Score]]&gt;=50),0)</f>
        <v/>
      </c>
      <c r="W419" s="43">
        <f>IFERROR(--AND(tblHistory[[#This Row],[Score]]&gt;=60,tblHistory[[#This Row],[BIZD S]]&gt;=0.8,tblHistory[[#This Row],[BKLN S]]&gt;=0.5),0)</f>
        <v/>
      </c>
      <c r="X419" s="43">
        <f>IFERROR(--AND(tblHistory[[#This Row],[Score]]&gt;=70,tblHistory[[#This Row],[SOX S]]&gt;=0.83,tblHistory[[#This Row],[AIQ S]]&gt;=0.8),0)</f>
        <v/>
      </c>
      <c r="Y419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419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419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419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419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420">
      <c r="A420" s="39" t="n">
        <v>45728</v>
      </c>
      <c r="B420" s="40" t="n">
        <v>20625.8</v>
      </c>
      <c r="C420" s="40" t="n">
        <v>7260.08</v>
      </c>
      <c r="D420" s="40" t="n">
        <v>41.69</v>
      </c>
      <c r="E420" s="40" t="n">
        <v>181.92</v>
      </c>
      <c r="F420" s="40" t="n"/>
      <c r="G420" s="40" t="n">
        <v>17.11</v>
      </c>
      <c r="H420" s="40" t="n">
        <v>20.77</v>
      </c>
      <c r="I420" s="41" t="n">
        <v>271</v>
      </c>
      <c r="J420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420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420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420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420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420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420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420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420" s="43">
        <f>(Dashboard!$C$13*tblHistory[[#This Row],[NDX S]]+Dashboard!$C$14*tblHistory[[#This Row],[SOX S]]+Dashboard!$C$15*tblHistory[[#This Row],[AIQ S]])/SUM(Dashboard!$C$13:$C$15)*100</f>
        <v/>
      </c>
      <c r="S420" s="43">
        <f>(Dashboard!$C$16*tblHistory[[#This Row],[ORCL S]]+Dashboard!$C$17*tblHistory[[#This Row],[CRWV S]])/SUM(Dashboard!$C$16:$C$17)*100</f>
        <v/>
      </c>
      <c r="T420" s="43">
        <f>(Dashboard!$C$18*tblHistory[[#This Row],[BIZD S]]+Dashboard!$C$19*tblHistory[[#This Row],[BKLN S]]+Dashboard!$C$20*tblHistory[[#This Row],[HY S]])/SUM(Dashboard!$C$18:$C$20)*100</f>
        <v/>
      </c>
      <c r="U420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420" s="43">
        <f>IFERROR(--(tblHistory[[#This Row],[Score]]&gt;=50),0)</f>
        <v/>
      </c>
      <c r="W420" s="43">
        <f>IFERROR(--AND(tblHistory[[#This Row],[Score]]&gt;=60,tblHistory[[#This Row],[BIZD S]]&gt;=0.8,tblHistory[[#This Row],[BKLN S]]&gt;=0.5),0)</f>
        <v/>
      </c>
      <c r="X420" s="43">
        <f>IFERROR(--AND(tblHistory[[#This Row],[Score]]&gt;=70,tblHistory[[#This Row],[SOX S]]&gt;=0.83,tblHistory[[#This Row],[AIQ S]]&gt;=0.8),0)</f>
        <v/>
      </c>
      <c r="Y420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420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420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420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420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421">
      <c r="A421" s="39" t="n">
        <v>45727</v>
      </c>
      <c r="B421" s="40" t="n">
        <v>20357.36</v>
      </c>
      <c r="C421" s="40" t="n">
        <v>7259.14</v>
      </c>
      <c r="D421" s="40" t="n">
        <v>41.6</v>
      </c>
      <c r="E421" s="40" t="n">
        <v>179.53</v>
      </c>
      <c r="F421" s="40" t="n"/>
      <c r="G421" s="40" t="n">
        <v>17.17</v>
      </c>
      <c r="H421" s="40" t="n">
        <v>20.72</v>
      </c>
      <c r="I421" s="41" t="n">
        <v>284</v>
      </c>
      <c r="J421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421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421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421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421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421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421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421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421" s="43">
        <f>(Dashboard!$C$13*tblHistory[[#This Row],[NDX S]]+Dashboard!$C$14*tblHistory[[#This Row],[SOX S]]+Dashboard!$C$15*tblHistory[[#This Row],[AIQ S]])/SUM(Dashboard!$C$13:$C$15)*100</f>
        <v/>
      </c>
      <c r="S421" s="43">
        <f>(Dashboard!$C$16*tblHistory[[#This Row],[ORCL S]]+Dashboard!$C$17*tblHistory[[#This Row],[CRWV S]])/SUM(Dashboard!$C$16:$C$17)*100</f>
        <v/>
      </c>
      <c r="T421" s="43">
        <f>(Dashboard!$C$18*tblHistory[[#This Row],[BIZD S]]+Dashboard!$C$19*tblHistory[[#This Row],[BKLN S]]+Dashboard!$C$20*tblHistory[[#This Row],[HY S]])/SUM(Dashboard!$C$18:$C$20)*100</f>
        <v/>
      </c>
      <c r="U421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421" s="43">
        <f>IFERROR(--(tblHistory[[#This Row],[Score]]&gt;=50),0)</f>
        <v/>
      </c>
      <c r="W421" s="43">
        <f>IFERROR(--AND(tblHistory[[#This Row],[Score]]&gt;=60,tblHistory[[#This Row],[BIZD S]]&gt;=0.8,tblHistory[[#This Row],[BKLN S]]&gt;=0.5),0)</f>
        <v/>
      </c>
      <c r="X421" s="43">
        <f>IFERROR(--AND(tblHistory[[#This Row],[Score]]&gt;=70,tblHistory[[#This Row],[SOX S]]&gt;=0.83,tblHistory[[#This Row],[AIQ S]]&gt;=0.8),0)</f>
        <v/>
      </c>
      <c r="Y421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421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421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421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421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422">
      <c r="A422" s="39" t="n">
        <v>45726</v>
      </c>
      <c r="B422" s="40" t="n">
        <v>20446.65</v>
      </c>
      <c r="C422" s="40" t="n">
        <v>7450.9</v>
      </c>
      <c r="D422" s="40" t="n">
        <v>41.65</v>
      </c>
      <c r="E422" s="40" t="n">
        <v>183.65</v>
      </c>
      <c r="F422" s="40" t="n"/>
      <c r="G422" s="40" t="n">
        <v>17.16</v>
      </c>
      <c r="H422" s="40" t="n">
        <v>20.76</v>
      </c>
      <c r="I422" s="41" t="n">
        <v>287</v>
      </c>
      <c r="J422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422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422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422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422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422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422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422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422" s="43">
        <f>(Dashboard!$C$13*tblHistory[[#This Row],[NDX S]]+Dashboard!$C$14*tblHistory[[#This Row],[SOX S]]+Dashboard!$C$15*tblHistory[[#This Row],[AIQ S]])/SUM(Dashboard!$C$13:$C$15)*100</f>
        <v/>
      </c>
      <c r="S422" s="43">
        <f>(Dashboard!$C$16*tblHistory[[#This Row],[ORCL S]]+Dashboard!$C$17*tblHistory[[#This Row],[CRWV S]])/SUM(Dashboard!$C$16:$C$17)*100</f>
        <v/>
      </c>
      <c r="T422" s="43">
        <f>(Dashboard!$C$18*tblHistory[[#This Row],[BIZD S]]+Dashboard!$C$19*tblHistory[[#This Row],[BKLN S]]+Dashboard!$C$20*tblHistory[[#This Row],[HY S]])/SUM(Dashboard!$C$18:$C$20)*100</f>
        <v/>
      </c>
      <c r="U422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422" s="43">
        <f>IFERROR(--(tblHistory[[#This Row],[Score]]&gt;=50),0)</f>
        <v/>
      </c>
      <c r="W422" s="43">
        <f>IFERROR(--AND(tblHistory[[#This Row],[Score]]&gt;=60,tblHistory[[#This Row],[BIZD S]]&gt;=0.8,tblHistory[[#This Row],[BKLN S]]&gt;=0.5),0)</f>
        <v/>
      </c>
      <c r="X422" s="43">
        <f>IFERROR(--AND(tblHistory[[#This Row],[Score]]&gt;=70,tblHistory[[#This Row],[SOX S]]&gt;=0.83,tblHistory[[#This Row],[AIQ S]]&gt;=0.8),0)</f>
        <v/>
      </c>
      <c r="Y422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422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422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422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422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423">
      <c r="A423" s="39" t="n">
        <v>45723</v>
      </c>
      <c r="B423" s="40" t="n">
        <v>20597.25</v>
      </c>
      <c r="C423" s="40" t="n">
        <v>7460.5</v>
      </c>
      <c r="D423" s="40" t="n">
        <v>41.26</v>
      </c>
      <c r="E423" s="40" t="n">
        <v>183.47</v>
      </c>
      <c r="F423" s="40" t="n"/>
      <c r="G423" s="40" t="n">
        <v>17.19</v>
      </c>
      <c r="H423" s="40" t="n">
        <v>20.71</v>
      </c>
      <c r="I423" s="41" t="n">
        <v>289</v>
      </c>
      <c r="J423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423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423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423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423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423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423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423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423" s="43">
        <f>(Dashboard!$C$13*tblHistory[[#This Row],[NDX S]]+Dashboard!$C$14*tblHistory[[#This Row],[SOX S]]+Dashboard!$C$15*tblHistory[[#This Row],[AIQ S]])/SUM(Dashboard!$C$13:$C$15)*100</f>
        <v/>
      </c>
      <c r="S423" s="43">
        <f>(Dashboard!$C$16*tblHistory[[#This Row],[ORCL S]]+Dashboard!$C$17*tblHistory[[#This Row],[CRWV S]])/SUM(Dashboard!$C$16:$C$17)*100</f>
        <v/>
      </c>
      <c r="T423" s="43">
        <f>(Dashboard!$C$18*tblHistory[[#This Row],[BIZD S]]+Dashboard!$C$19*tblHistory[[#This Row],[BKLN S]]+Dashboard!$C$20*tblHistory[[#This Row],[HY S]])/SUM(Dashboard!$C$18:$C$20)*100</f>
        <v/>
      </c>
      <c r="U423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423" s="43">
        <f>IFERROR(--(tblHistory[[#This Row],[Score]]&gt;=50),0)</f>
        <v/>
      </c>
      <c r="W423" s="43">
        <f>IFERROR(--AND(tblHistory[[#This Row],[Score]]&gt;=60,tblHistory[[#This Row],[BIZD S]]&gt;=0.8,tblHistory[[#This Row],[BKLN S]]&gt;=0.5),0)</f>
        <v/>
      </c>
      <c r="X423" s="43">
        <f>IFERROR(--AND(tblHistory[[#This Row],[Score]]&gt;=70,tblHistory[[#This Row],[SOX S]]&gt;=0.83,tblHistory[[#This Row],[AIQ S]]&gt;=0.8),0)</f>
        <v/>
      </c>
      <c r="Y423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423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423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423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423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424">
      <c r="A424" s="39" t="n">
        <v>45722</v>
      </c>
      <c r="B424" s="40" t="n">
        <v>20303.84</v>
      </c>
      <c r="C424" s="40" t="n">
        <v>7383.66</v>
      </c>
      <c r="D424" s="40" t="n">
        <v>40.48</v>
      </c>
      <c r="E424" s="40" t="n">
        <v>180.48</v>
      </c>
      <c r="F424" s="40" t="n"/>
      <c r="G424" s="40" t="n">
        <v>17.04</v>
      </c>
      <c r="H424" s="40" t="n">
        <v>20.71</v>
      </c>
      <c r="I424" s="41" t="n">
        <v>289</v>
      </c>
      <c r="J424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424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424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424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424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424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424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424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424" s="43">
        <f>(Dashboard!$C$13*tblHistory[[#This Row],[NDX S]]+Dashboard!$C$14*tblHistory[[#This Row],[SOX S]]+Dashboard!$C$15*tblHistory[[#This Row],[AIQ S]])/SUM(Dashboard!$C$13:$C$15)*100</f>
        <v/>
      </c>
      <c r="S424" s="43">
        <f>(Dashboard!$C$16*tblHistory[[#This Row],[ORCL S]]+Dashboard!$C$17*tblHistory[[#This Row],[CRWV S]])/SUM(Dashboard!$C$16:$C$17)*100</f>
        <v/>
      </c>
      <c r="T424" s="43">
        <f>(Dashboard!$C$18*tblHistory[[#This Row],[BIZD S]]+Dashboard!$C$19*tblHistory[[#This Row],[BKLN S]]+Dashboard!$C$20*tblHistory[[#This Row],[HY S]])/SUM(Dashboard!$C$18:$C$20)*100</f>
        <v/>
      </c>
      <c r="U424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424" s="43">
        <f>IFERROR(--(tblHistory[[#This Row],[Score]]&gt;=50),0)</f>
        <v/>
      </c>
      <c r="W424" s="43">
        <f>IFERROR(--AND(tblHistory[[#This Row],[Score]]&gt;=60,tblHistory[[#This Row],[BIZD S]]&gt;=0.8,tblHistory[[#This Row],[BKLN S]]&gt;=0.5),0)</f>
        <v/>
      </c>
      <c r="X424" s="43">
        <f>IFERROR(--AND(tblHistory[[#This Row],[Score]]&gt;=70,tblHistory[[#This Row],[SOX S]]&gt;=0.83,tblHistory[[#This Row],[AIQ S]]&gt;=0.8),0)</f>
        <v/>
      </c>
      <c r="Y424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424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424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424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424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425">
      <c r="A425" s="39" t="n">
        <v>45721</v>
      </c>
      <c r="B425" s="40" t="n">
        <v>20262.36</v>
      </c>
      <c r="C425" s="40" t="n">
        <v>7335.65</v>
      </c>
      <c r="D425" s="40" t="n">
        <v>40.53</v>
      </c>
      <c r="E425" s="40" t="n">
        <v>183.11</v>
      </c>
      <c r="F425" s="40" t="n"/>
      <c r="G425" s="40" t="n">
        <v>17</v>
      </c>
      <c r="H425" s="40" t="n">
        <v>20.75</v>
      </c>
      <c r="I425" s="41" t="n">
        <v>295</v>
      </c>
      <c r="J425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425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425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425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425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425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425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425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425" s="43">
        <f>(Dashboard!$C$13*tblHistory[[#This Row],[NDX S]]+Dashboard!$C$14*tblHistory[[#This Row],[SOX S]]+Dashboard!$C$15*tblHistory[[#This Row],[AIQ S]])/SUM(Dashboard!$C$13:$C$15)*100</f>
        <v/>
      </c>
      <c r="S425" s="43">
        <f>(Dashboard!$C$16*tblHistory[[#This Row],[ORCL S]]+Dashboard!$C$17*tblHistory[[#This Row],[CRWV S]])/SUM(Dashboard!$C$16:$C$17)*100</f>
        <v/>
      </c>
      <c r="T425" s="43">
        <f>(Dashboard!$C$18*tblHistory[[#This Row],[BIZD S]]+Dashboard!$C$19*tblHistory[[#This Row],[BKLN S]]+Dashboard!$C$20*tblHistory[[#This Row],[HY S]])/SUM(Dashboard!$C$18:$C$20)*100</f>
        <v/>
      </c>
      <c r="U425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425" s="43">
        <f>IFERROR(--(tblHistory[[#This Row],[Score]]&gt;=50),0)</f>
        <v/>
      </c>
      <c r="W425" s="43">
        <f>IFERROR(--AND(tblHistory[[#This Row],[Score]]&gt;=60,tblHistory[[#This Row],[BIZD S]]&gt;=0.8,tblHistory[[#This Row],[BKLN S]]&gt;=0.5),0)</f>
        <v/>
      </c>
      <c r="X425" s="43">
        <f>IFERROR(--AND(tblHistory[[#This Row],[Score]]&gt;=70,tblHistory[[#This Row],[SOX S]]&gt;=0.83,tblHistory[[#This Row],[AIQ S]]&gt;=0.8),0)</f>
        <v/>
      </c>
      <c r="Y425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425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425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425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425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426">
      <c r="A426" s="39" t="n">
        <v>45720</v>
      </c>
      <c r="B426" s="40" t="n">
        <v>20092.91</v>
      </c>
      <c r="C426" s="40" t="n">
        <v>7227.38</v>
      </c>
      <c r="D426" s="40" t="n">
        <v>41.13</v>
      </c>
      <c r="E426" s="40" t="n">
        <v>181.92</v>
      </c>
      <c r="F426" s="40" t="n"/>
      <c r="G426" s="40" t="n">
        <v>17.05</v>
      </c>
      <c r="H426" s="40" t="n">
        <v>20.79</v>
      </c>
      <c r="I426" s="41" t="n">
        <v>295</v>
      </c>
      <c r="J426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426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426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426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426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426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426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426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426" s="43">
        <f>(Dashboard!$C$13*tblHistory[[#This Row],[NDX S]]+Dashboard!$C$14*tblHistory[[#This Row],[SOX S]]+Dashboard!$C$15*tblHistory[[#This Row],[AIQ S]])/SUM(Dashboard!$C$13:$C$15)*100</f>
        <v/>
      </c>
      <c r="S426" s="43">
        <f>(Dashboard!$C$16*tblHistory[[#This Row],[ORCL S]]+Dashboard!$C$17*tblHistory[[#This Row],[CRWV S]])/SUM(Dashboard!$C$16:$C$17)*100</f>
        <v/>
      </c>
      <c r="T426" s="43">
        <f>(Dashboard!$C$18*tblHistory[[#This Row],[BIZD S]]+Dashboard!$C$19*tblHistory[[#This Row],[BKLN S]]+Dashboard!$C$20*tblHistory[[#This Row],[HY S]])/SUM(Dashboard!$C$18:$C$20)*100</f>
        <v/>
      </c>
      <c r="U426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426" s="43">
        <f>IFERROR(--(tblHistory[[#This Row],[Score]]&gt;=50),0)</f>
        <v/>
      </c>
      <c r="W426" s="43">
        <f>IFERROR(--AND(tblHistory[[#This Row],[Score]]&gt;=60,tblHistory[[#This Row],[BIZD S]]&gt;=0.8,tblHistory[[#This Row],[BKLN S]]&gt;=0.5),0)</f>
        <v/>
      </c>
      <c r="X426" s="43">
        <f>IFERROR(--AND(tblHistory[[#This Row],[Score]]&gt;=70,tblHistory[[#This Row],[SOX S]]&gt;=0.83,tblHistory[[#This Row],[AIQ S]]&gt;=0.8),0)</f>
        <v/>
      </c>
      <c r="Y426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426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426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426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426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427">
      <c r="A427" s="39" t="n">
        <v>45719</v>
      </c>
      <c r="B427" s="40" t="n">
        <v>20002.73</v>
      </c>
      <c r="C427" s="40" t="n">
        <v>7135.72</v>
      </c>
      <c r="D427" s="40" t="n">
        <v>40.95</v>
      </c>
      <c r="E427" s="40" t="n">
        <v>186.45</v>
      </c>
      <c r="F427" s="40" t="n"/>
      <c r="G427" s="40" t="n">
        <v>16.92</v>
      </c>
      <c r="H427" s="40" t="n">
        <v>20.79</v>
      </c>
      <c r="I427" s="41" t="n">
        <v>288</v>
      </c>
      <c r="J427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427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427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427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427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427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427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427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427" s="43">
        <f>(Dashboard!$C$13*tblHistory[[#This Row],[NDX S]]+Dashboard!$C$14*tblHistory[[#This Row],[SOX S]]+Dashboard!$C$15*tblHistory[[#This Row],[AIQ S]])/SUM(Dashboard!$C$13:$C$15)*100</f>
        <v/>
      </c>
      <c r="S427" s="43">
        <f>(Dashboard!$C$16*tblHistory[[#This Row],[ORCL S]]+Dashboard!$C$17*tblHistory[[#This Row],[CRWV S]])/SUM(Dashboard!$C$16:$C$17)*100</f>
        <v/>
      </c>
      <c r="T427" s="43">
        <f>(Dashboard!$C$18*tblHistory[[#This Row],[BIZD S]]+Dashboard!$C$19*tblHistory[[#This Row],[BKLN S]]+Dashboard!$C$20*tblHistory[[#This Row],[HY S]])/SUM(Dashboard!$C$18:$C$20)*100</f>
        <v/>
      </c>
      <c r="U427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427" s="43">
        <f>IFERROR(--(tblHistory[[#This Row],[Score]]&gt;=50),0)</f>
        <v/>
      </c>
      <c r="W427" s="43">
        <f>IFERROR(--AND(tblHistory[[#This Row],[Score]]&gt;=60,tblHistory[[#This Row],[BIZD S]]&gt;=0.8,tblHistory[[#This Row],[BKLN S]]&gt;=0.5),0)</f>
        <v/>
      </c>
      <c r="X427" s="43">
        <f>IFERROR(--AND(tblHistory[[#This Row],[Score]]&gt;=70,tblHistory[[#This Row],[SOX S]]&gt;=0.83,tblHistory[[#This Row],[AIQ S]]&gt;=0.8),0)</f>
        <v/>
      </c>
      <c r="Y427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427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427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427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427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428">
      <c r="A428" s="39" t="n">
        <v>45716</v>
      </c>
      <c r="B428" s="40" t="n">
        <v>20026.78</v>
      </c>
      <c r="C428" s="40" t="n">
        <v>7219.33</v>
      </c>
      <c r="D428" s="40" t="n">
        <v>41.11</v>
      </c>
      <c r="E428" s="40" t="n">
        <v>192.77</v>
      </c>
      <c r="F428" s="40" t="n"/>
      <c r="G428" s="40" t="n">
        <v>16.74</v>
      </c>
      <c r="H428" s="40" t="n">
        <v>20.77</v>
      </c>
      <c r="I428" s="41" t="n">
        <v>283</v>
      </c>
      <c r="J428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428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428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428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428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428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428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428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428" s="43">
        <f>(Dashboard!$C$13*tblHistory[[#This Row],[NDX S]]+Dashboard!$C$14*tblHistory[[#This Row],[SOX S]]+Dashboard!$C$15*tblHistory[[#This Row],[AIQ S]])/SUM(Dashboard!$C$13:$C$15)*100</f>
        <v/>
      </c>
      <c r="S428" s="43">
        <f>(Dashboard!$C$16*tblHistory[[#This Row],[ORCL S]]+Dashboard!$C$17*tblHistory[[#This Row],[CRWV S]])/SUM(Dashboard!$C$16:$C$17)*100</f>
        <v/>
      </c>
      <c r="T428" s="43">
        <f>(Dashboard!$C$18*tblHistory[[#This Row],[BIZD S]]+Dashboard!$C$19*tblHistory[[#This Row],[BKLN S]]+Dashboard!$C$20*tblHistory[[#This Row],[HY S]])/SUM(Dashboard!$C$18:$C$20)*100</f>
        <v/>
      </c>
      <c r="U428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428" s="43">
        <f>IFERROR(--(tblHistory[[#This Row],[Score]]&gt;=50),0)</f>
        <v/>
      </c>
      <c r="W428" s="43">
        <f>IFERROR(--AND(tblHistory[[#This Row],[Score]]&gt;=60,tblHistory[[#This Row],[BIZD S]]&gt;=0.8,tblHistory[[#This Row],[BKLN S]]&gt;=0.5),0)</f>
        <v/>
      </c>
      <c r="X428" s="43">
        <f>IFERROR(--AND(tblHistory[[#This Row],[Score]]&gt;=70,tblHistory[[#This Row],[SOX S]]&gt;=0.83,tblHistory[[#This Row],[AIQ S]]&gt;=0.8),0)</f>
        <v/>
      </c>
      <c r="Y428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428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428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428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428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429">
      <c r="A429" s="39" t="n">
        <v>45715</v>
      </c>
      <c r="B429" s="40" t="n">
        <v>19882.64</v>
      </c>
      <c r="C429" s="40" t="n">
        <v>7128.74</v>
      </c>
      <c r="D429" s="40" t="n">
        <v>41.63</v>
      </c>
      <c r="E429" s="40" t="n">
        <v>188.56</v>
      </c>
      <c r="F429" s="40" t="n"/>
      <c r="G429" s="40" t="n">
        <v>16.75</v>
      </c>
      <c r="H429" s="40" t="n">
        <v>20.78</v>
      </c>
      <c r="I429" s="41" t="n">
        <v>290</v>
      </c>
      <c r="J429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429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429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429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429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429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429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429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429" s="43">
        <f>(Dashboard!$C$13*tblHistory[[#This Row],[NDX S]]+Dashboard!$C$14*tblHistory[[#This Row],[SOX S]]+Dashboard!$C$15*tblHistory[[#This Row],[AIQ S]])/SUM(Dashboard!$C$13:$C$15)*100</f>
        <v/>
      </c>
      <c r="S429" s="43">
        <f>(Dashboard!$C$16*tblHistory[[#This Row],[ORCL S]]+Dashboard!$C$17*tblHistory[[#This Row],[CRWV S]])/SUM(Dashboard!$C$16:$C$17)*100</f>
        <v/>
      </c>
      <c r="T429" s="43">
        <f>(Dashboard!$C$18*tblHistory[[#This Row],[BIZD S]]+Dashboard!$C$19*tblHistory[[#This Row],[BKLN S]]+Dashboard!$C$20*tblHistory[[#This Row],[HY S]])/SUM(Dashboard!$C$18:$C$20)*100</f>
        <v/>
      </c>
      <c r="U429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429" s="43">
        <f>IFERROR(--(tblHistory[[#This Row],[Score]]&gt;=50),0)</f>
        <v/>
      </c>
      <c r="W429" s="43">
        <f>IFERROR(--AND(tblHistory[[#This Row],[Score]]&gt;=60,tblHistory[[#This Row],[BIZD S]]&gt;=0.8,tblHistory[[#This Row],[BKLN S]]&gt;=0.5),0)</f>
        <v/>
      </c>
      <c r="X429" s="43">
        <f>IFERROR(--AND(tblHistory[[#This Row],[Score]]&gt;=70,tblHistory[[#This Row],[SOX S]]&gt;=0.83,tblHistory[[#This Row],[AIQ S]]&gt;=0.8),0)</f>
        <v/>
      </c>
      <c r="Y429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429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429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429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429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430">
      <c r="A430" s="39" t="n">
        <v>45714</v>
      </c>
      <c r="B430" s="40" t="n">
        <v>19490.47</v>
      </c>
      <c r="C430" s="40" t="n">
        <v>7266.56</v>
      </c>
      <c r="D430" s="40" t="n">
        <v>42.02</v>
      </c>
      <c r="E430" s="40" t="n">
        <v>192.55</v>
      </c>
      <c r="F430" s="40" t="n"/>
      <c r="G430" s="40" t="n">
        <v>16.56</v>
      </c>
      <c r="H430" s="40" t="n">
        <v>20.74</v>
      </c>
      <c r="I430" s="41" t="n">
        <v>293</v>
      </c>
      <c r="J430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430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430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430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430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430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430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430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430" s="43">
        <f>(Dashboard!$C$13*tblHistory[[#This Row],[NDX S]]+Dashboard!$C$14*tblHistory[[#This Row],[SOX S]]+Dashboard!$C$15*tblHistory[[#This Row],[AIQ S]])/SUM(Dashboard!$C$13:$C$15)*100</f>
        <v/>
      </c>
      <c r="S430" s="43">
        <f>(Dashboard!$C$16*tblHistory[[#This Row],[ORCL S]]+Dashboard!$C$17*tblHistory[[#This Row],[CRWV S]])/SUM(Dashboard!$C$16:$C$17)*100</f>
        <v/>
      </c>
      <c r="T430" s="43">
        <f>(Dashboard!$C$18*tblHistory[[#This Row],[BIZD S]]+Dashboard!$C$19*tblHistory[[#This Row],[BKLN S]]+Dashboard!$C$20*tblHistory[[#This Row],[HY S]])/SUM(Dashboard!$C$18:$C$20)*100</f>
        <v/>
      </c>
      <c r="U430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430" s="43">
        <f>IFERROR(--(tblHistory[[#This Row],[Score]]&gt;=50),0)</f>
        <v/>
      </c>
      <c r="W430" s="43">
        <f>IFERROR(--AND(tblHistory[[#This Row],[Score]]&gt;=60,tblHistory[[#This Row],[BIZD S]]&gt;=0.8,tblHistory[[#This Row],[BKLN S]]&gt;=0.5),0)</f>
        <v/>
      </c>
      <c r="X430" s="43">
        <f>IFERROR(--AND(tblHistory[[#This Row],[Score]]&gt;=70,tblHistory[[#This Row],[SOX S]]&gt;=0.83,tblHistory[[#This Row],[AIQ S]]&gt;=0.8),0)</f>
        <v/>
      </c>
      <c r="Y430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430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430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430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430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431">
      <c r="A431" s="39" t="n">
        <v>45713</v>
      </c>
      <c r="B431" s="40" t="n">
        <v>19787.69</v>
      </c>
      <c r="C431" s="40" t="n">
        <v>7405.25</v>
      </c>
      <c r="D431" s="40" t="n">
        <v>42.1</v>
      </c>
      <c r="E431" s="40" t="n">
        <v>188.93</v>
      </c>
      <c r="F431" s="40" t="n"/>
      <c r="G431" s="40" t="n">
        <v>16.61</v>
      </c>
      <c r="H431" s="40" t="n">
        <v>20.78</v>
      </c>
      <c r="I431" s="41" t="n">
        <v>288</v>
      </c>
      <c r="J431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431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431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431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431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431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431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431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431" s="43">
        <f>(Dashboard!$C$13*tblHistory[[#This Row],[NDX S]]+Dashboard!$C$14*tblHistory[[#This Row],[SOX S]]+Dashboard!$C$15*tblHistory[[#This Row],[AIQ S]])/SUM(Dashboard!$C$13:$C$15)*100</f>
        <v/>
      </c>
      <c r="S431" s="43">
        <f>(Dashboard!$C$16*tblHistory[[#This Row],[ORCL S]]+Dashboard!$C$17*tblHistory[[#This Row],[CRWV S]])/SUM(Dashboard!$C$16:$C$17)*100</f>
        <v/>
      </c>
      <c r="T431" s="43">
        <f>(Dashboard!$C$18*tblHistory[[#This Row],[BIZD S]]+Dashboard!$C$19*tblHistory[[#This Row],[BKLN S]]+Dashboard!$C$20*tblHistory[[#This Row],[HY S]])/SUM(Dashboard!$C$18:$C$20)*100</f>
        <v/>
      </c>
      <c r="U431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431" s="43">
        <f>IFERROR(--(tblHistory[[#This Row],[Score]]&gt;=50),0)</f>
        <v/>
      </c>
      <c r="W431" s="43">
        <f>IFERROR(--AND(tblHistory[[#This Row],[Score]]&gt;=60,tblHistory[[#This Row],[BIZD S]]&gt;=0.8,tblHistory[[#This Row],[BKLN S]]&gt;=0.5),0)</f>
        <v/>
      </c>
      <c r="X431" s="43">
        <f>IFERROR(--AND(tblHistory[[#This Row],[Score]]&gt;=70,tblHistory[[#This Row],[SOX S]]&gt;=0.83,tblHistory[[#This Row],[AIQ S]]&gt;=0.8),0)</f>
        <v/>
      </c>
      <c r="Y431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431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431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431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431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432">
      <c r="A432" s="39" t="n">
        <v>45712</v>
      </c>
      <c r="B432" s="40" t="n">
        <v>19535.35</v>
      </c>
      <c r="C432" s="40" t="n">
        <v>7400.38</v>
      </c>
      <c r="D432" s="40" t="n">
        <v>43.08</v>
      </c>
      <c r="E432" s="40" t="n">
        <v>196.04</v>
      </c>
      <c r="F432" s="40" t="n"/>
      <c r="G432" s="40" t="n">
        <v>16.61</v>
      </c>
      <c r="H432" s="40" t="n">
        <v>20.79</v>
      </c>
      <c r="I432" s="41" t="n">
        <v>279</v>
      </c>
      <c r="J432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432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432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432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432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432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432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432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432" s="43">
        <f>(Dashboard!$C$13*tblHistory[[#This Row],[NDX S]]+Dashboard!$C$14*tblHistory[[#This Row],[SOX S]]+Dashboard!$C$15*tblHistory[[#This Row],[AIQ S]])/SUM(Dashboard!$C$13:$C$15)*100</f>
        <v/>
      </c>
      <c r="S432" s="43">
        <f>(Dashboard!$C$16*tblHistory[[#This Row],[ORCL S]]+Dashboard!$C$17*tblHistory[[#This Row],[CRWV S]])/SUM(Dashboard!$C$16:$C$17)*100</f>
        <v/>
      </c>
      <c r="T432" s="43">
        <f>(Dashboard!$C$18*tblHistory[[#This Row],[BIZD S]]+Dashboard!$C$19*tblHistory[[#This Row],[BKLN S]]+Dashboard!$C$20*tblHistory[[#This Row],[HY S]])/SUM(Dashboard!$C$18:$C$20)*100</f>
        <v/>
      </c>
      <c r="U432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432" s="43">
        <f>IFERROR(--(tblHistory[[#This Row],[Score]]&gt;=50),0)</f>
        <v/>
      </c>
      <c r="W432" s="43">
        <f>IFERROR(--AND(tblHistory[[#This Row],[Score]]&gt;=60,tblHistory[[#This Row],[BIZD S]]&gt;=0.8,tblHistory[[#This Row],[BKLN S]]&gt;=0.5),0)</f>
        <v/>
      </c>
      <c r="X432" s="43">
        <f>IFERROR(--AND(tblHistory[[#This Row],[Score]]&gt;=70,tblHistory[[#This Row],[SOX S]]&gt;=0.83,tblHistory[[#This Row],[AIQ S]]&gt;=0.8),0)</f>
        <v/>
      </c>
      <c r="Y432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432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432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432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432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433">
      <c r="A433" s="39" t="n">
        <v>45709</v>
      </c>
      <c r="B433" s="40" t="n">
        <v>19566.79</v>
      </c>
      <c r="C433" s="40" t="n">
        <v>7520.61</v>
      </c>
      <c r="D433" s="40" t="n">
        <v>43.42</v>
      </c>
      <c r="E433" s="40" t="n">
        <v>197.89</v>
      </c>
      <c r="F433" s="40" t="n"/>
      <c r="G433" s="40" t="n">
        <v>16.67</v>
      </c>
      <c r="H433" s="40" t="n">
        <v>20.73</v>
      </c>
      <c r="I433" s="41" t="n">
        <v>292</v>
      </c>
      <c r="J433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433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433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433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433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433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433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433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433" s="43">
        <f>(Dashboard!$C$13*tblHistory[[#This Row],[NDX S]]+Dashboard!$C$14*tblHistory[[#This Row],[SOX S]]+Dashboard!$C$15*tblHistory[[#This Row],[AIQ S]])/SUM(Dashboard!$C$13:$C$15)*100</f>
        <v/>
      </c>
      <c r="S433" s="43">
        <f>(Dashboard!$C$16*tblHistory[[#This Row],[ORCL S]]+Dashboard!$C$17*tblHistory[[#This Row],[CRWV S]])/SUM(Dashboard!$C$16:$C$17)*100</f>
        <v/>
      </c>
      <c r="T433" s="43">
        <f>(Dashboard!$C$18*tblHistory[[#This Row],[BIZD S]]+Dashboard!$C$19*tblHistory[[#This Row],[BKLN S]]+Dashboard!$C$20*tblHistory[[#This Row],[HY S]])/SUM(Dashboard!$C$18:$C$20)*100</f>
        <v/>
      </c>
      <c r="U433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433" s="43">
        <f>IFERROR(--(tblHistory[[#This Row],[Score]]&gt;=50),0)</f>
        <v/>
      </c>
      <c r="W433" s="43">
        <f>IFERROR(--AND(tblHistory[[#This Row],[Score]]&gt;=60,tblHistory[[#This Row],[BIZD S]]&gt;=0.8,tblHistory[[#This Row],[BKLN S]]&gt;=0.5),0)</f>
        <v/>
      </c>
      <c r="X433" s="43">
        <f>IFERROR(--AND(tblHistory[[#This Row],[Score]]&gt;=70,tblHistory[[#This Row],[SOX S]]&gt;=0.83,tblHistory[[#This Row],[AIQ S]]&gt;=0.8),0)</f>
        <v/>
      </c>
      <c r="Y433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433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433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433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433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434">
      <c r="A434" s="39" t="n">
        <v>45708</v>
      </c>
      <c r="B434" s="40" t="n">
        <v>19984.73</v>
      </c>
      <c r="C434" s="40" t="n">
        <v>7790.51</v>
      </c>
      <c r="D434" s="40" t="n">
        <v>42.6</v>
      </c>
      <c r="E434" s="40" t="n">
        <v>200.48</v>
      </c>
      <c r="F434" s="40" t="n"/>
      <c r="G434" s="40" t="n">
        <v>16.84</v>
      </c>
      <c r="H434" s="40" t="n">
        <v>20.74</v>
      </c>
      <c r="I434" s="41" t="n">
        <v>284</v>
      </c>
      <c r="J434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434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434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434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434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434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434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434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434" s="43">
        <f>(Dashboard!$C$13*tblHistory[[#This Row],[NDX S]]+Dashboard!$C$14*tblHistory[[#This Row],[SOX S]]+Dashboard!$C$15*tblHistory[[#This Row],[AIQ S]])/SUM(Dashboard!$C$13:$C$15)*100</f>
        <v/>
      </c>
      <c r="S434" s="43">
        <f>(Dashboard!$C$16*tblHistory[[#This Row],[ORCL S]]+Dashboard!$C$17*tblHistory[[#This Row],[CRWV S]])/SUM(Dashboard!$C$16:$C$17)*100</f>
        <v/>
      </c>
      <c r="T434" s="43">
        <f>(Dashboard!$C$18*tblHistory[[#This Row],[BIZD S]]+Dashboard!$C$19*tblHistory[[#This Row],[BKLN S]]+Dashboard!$C$20*tblHistory[[#This Row],[HY S]])/SUM(Dashboard!$C$18:$C$20)*100</f>
        <v/>
      </c>
      <c r="U434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434" s="43">
        <f>IFERROR(--(tblHistory[[#This Row],[Score]]&gt;=50),0)</f>
        <v/>
      </c>
      <c r="W434" s="43">
        <f>IFERROR(--AND(tblHistory[[#This Row],[Score]]&gt;=60,tblHistory[[#This Row],[BIZD S]]&gt;=0.8,tblHistory[[#This Row],[BKLN S]]&gt;=0.5),0)</f>
        <v/>
      </c>
      <c r="X434" s="43">
        <f>IFERROR(--AND(tblHistory[[#This Row],[Score]]&gt;=70,tblHistory[[#This Row],[SOX S]]&gt;=0.83,tblHistory[[#This Row],[AIQ S]]&gt;=0.8),0)</f>
        <v/>
      </c>
      <c r="Y434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434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434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434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434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435">
      <c r="A435" s="39" t="n">
        <v>45707</v>
      </c>
      <c r="B435" s="40" t="n">
        <v>19771.88</v>
      </c>
      <c r="C435" s="40" t="n">
        <v>7671.79</v>
      </c>
      <c r="D435" s="40" t="n">
        <v>43.05</v>
      </c>
      <c r="E435" s="40" t="n">
        <v>201.39</v>
      </c>
      <c r="F435" s="40" t="n"/>
      <c r="G435" s="40" t="n">
        <v>16.75</v>
      </c>
      <c r="H435" s="40" t="n">
        <v>20.71</v>
      </c>
      <c r="I435" s="41" t="n">
        <v>284</v>
      </c>
      <c r="J435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435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435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435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435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435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435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435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435" s="43">
        <f>(Dashboard!$C$13*tblHistory[[#This Row],[NDX S]]+Dashboard!$C$14*tblHistory[[#This Row],[SOX S]]+Dashboard!$C$15*tblHistory[[#This Row],[AIQ S]])/SUM(Dashboard!$C$13:$C$15)*100</f>
        <v/>
      </c>
      <c r="S435" s="43">
        <f>(Dashboard!$C$16*tblHistory[[#This Row],[ORCL S]]+Dashboard!$C$17*tblHistory[[#This Row],[CRWV S]])/SUM(Dashboard!$C$16:$C$17)*100</f>
        <v/>
      </c>
      <c r="T435" s="43">
        <f>(Dashboard!$C$18*tblHistory[[#This Row],[BIZD S]]+Dashboard!$C$19*tblHistory[[#This Row],[BKLN S]]+Dashboard!$C$20*tblHistory[[#This Row],[HY S]])/SUM(Dashboard!$C$18:$C$20)*100</f>
        <v/>
      </c>
      <c r="U435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435" s="43">
        <f>IFERROR(--(tblHistory[[#This Row],[Score]]&gt;=50),0)</f>
        <v/>
      </c>
      <c r="W435" s="43">
        <f>IFERROR(--AND(tblHistory[[#This Row],[Score]]&gt;=60,tblHistory[[#This Row],[BIZD S]]&gt;=0.8,tblHistory[[#This Row],[BKLN S]]&gt;=0.5),0)</f>
        <v/>
      </c>
      <c r="X435" s="43">
        <f>IFERROR(--AND(tblHistory[[#This Row],[Score]]&gt;=70,tblHistory[[#This Row],[SOX S]]&gt;=0.83,tblHistory[[#This Row],[AIQ S]]&gt;=0.8),0)</f>
        <v/>
      </c>
      <c r="Y435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435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435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435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435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436">
      <c r="A436" s="39" t="n">
        <v>45706</v>
      </c>
      <c r="B436" s="40" t="n">
        <v>19910.85</v>
      </c>
      <c r="C436" s="40" t="n">
        <v>7658.74</v>
      </c>
      <c r="D436" s="40" t="n">
        <v>42.86</v>
      </c>
      <c r="E436" s="40" t="n">
        <v>193.85</v>
      </c>
      <c r="F436" s="40" t="n"/>
      <c r="G436" s="40" t="n">
        <v>16.97</v>
      </c>
      <c r="H436" s="40" t="n">
        <v>20.68</v>
      </c>
      <c r="I436" s="41" t="n">
        <v>286</v>
      </c>
      <c r="J436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436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436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436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436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436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436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436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436" s="43">
        <f>(Dashboard!$C$13*tblHistory[[#This Row],[NDX S]]+Dashboard!$C$14*tblHistory[[#This Row],[SOX S]]+Dashboard!$C$15*tblHistory[[#This Row],[AIQ S]])/SUM(Dashboard!$C$13:$C$15)*100</f>
        <v/>
      </c>
      <c r="S436" s="43">
        <f>(Dashboard!$C$16*tblHistory[[#This Row],[ORCL S]]+Dashboard!$C$17*tblHistory[[#This Row],[CRWV S]])/SUM(Dashboard!$C$16:$C$17)*100</f>
        <v/>
      </c>
      <c r="T436" s="43">
        <f>(Dashboard!$C$18*tblHistory[[#This Row],[BIZD S]]+Dashboard!$C$19*tblHistory[[#This Row],[BKLN S]]+Dashboard!$C$20*tblHistory[[#This Row],[HY S]])/SUM(Dashboard!$C$18:$C$20)*100</f>
        <v/>
      </c>
      <c r="U436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436" s="43">
        <f>IFERROR(--(tblHistory[[#This Row],[Score]]&gt;=50),0)</f>
        <v/>
      </c>
      <c r="W436" s="43">
        <f>IFERROR(--AND(tblHistory[[#This Row],[Score]]&gt;=60,tblHistory[[#This Row],[BIZD S]]&gt;=0.8,tblHistory[[#This Row],[BKLN S]]&gt;=0.5),0)</f>
        <v/>
      </c>
      <c r="X436" s="43">
        <f>IFERROR(--AND(tblHistory[[#This Row],[Score]]&gt;=70,tblHistory[[#This Row],[SOX S]]&gt;=0.83,tblHistory[[#This Row],[AIQ S]]&gt;=0.8),0)</f>
        <v/>
      </c>
      <c r="Y436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436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436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436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436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437">
      <c r="A437" s="39" t="n">
        <v>45705</v>
      </c>
      <c r="B437" s="40" t="n">
        <v>20375.87</v>
      </c>
      <c r="C437" s="40" t="n">
        <v>7600.32</v>
      </c>
      <c r="D437" s="40" t="n">
        <v>42.82</v>
      </c>
      <c r="E437" s="40" t="n">
        <v>189.15</v>
      </c>
      <c r="F437" s="40" t="n"/>
      <c r="G437" s="40" t="n">
        <v>16.94</v>
      </c>
      <c r="H437" s="40" t="n">
        <v>20.72</v>
      </c>
      <c r="I437" s="41" t="n">
        <v>293</v>
      </c>
      <c r="J437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437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437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437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437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437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437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437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437" s="43">
        <f>(Dashboard!$C$13*tblHistory[[#This Row],[NDX S]]+Dashboard!$C$14*tblHistory[[#This Row],[SOX S]]+Dashboard!$C$15*tblHistory[[#This Row],[AIQ S]])/SUM(Dashboard!$C$13:$C$15)*100</f>
        <v/>
      </c>
      <c r="S437" s="43">
        <f>(Dashboard!$C$16*tblHistory[[#This Row],[ORCL S]]+Dashboard!$C$17*tblHistory[[#This Row],[CRWV S]])/SUM(Dashboard!$C$16:$C$17)*100</f>
        <v/>
      </c>
      <c r="T437" s="43">
        <f>(Dashboard!$C$18*tblHistory[[#This Row],[BIZD S]]+Dashboard!$C$19*tblHistory[[#This Row],[BKLN S]]+Dashboard!$C$20*tblHistory[[#This Row],[HY S]])/SUM(Dashboard!$C$18:$C$20)*100</f>
        <v/>
      </c>
      <c r="U437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437" s="43">
        <f>IFERROR(--(tblHistory[[#This Row],[Score]]&gt;=50),0)</f>
        <v/>
      </c>
      <c r="W437" s="43">
        <f>IFERROR(--AND(tblHistory[[#This Row],[Score]]&gt;=60,tblHistory[[#This Row],[BIZD S]]&gt;=0.8,tblHistory[[#This Row],[BKLN S]]&gt;=0.5),0)</f>
        <v/>
      </c>
      <c r="X437" s="43">
        <f>IFERROR(--AND(tblHistory[[#This Row],[Score]]&gt;=70,tblHistory[[#This Row],[SOX S]]&gt;=0.83,tblHistory[[#This Row],[AIQ S]]&gt;=0.8),0)</f>
        <v/>
      </c>
      <c r="Y437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437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437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437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437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438">
      <c r="A438" s="39" t="n">
        <v>45702</v>
      </c>
      <c r="B438" s="40" t="n">
        <v>20234.64</v>
      </c>
      <c r="C438" s="40" t="n">
        <v>7629.53</v>
      </c>
      <c r="D438" s="40" t="n">
        <v>42.54</v>
      </c>
      <c r="E438" s="40" t="n">
        <v>191.56</v>
      </c>
      <c r="F438" s="40" t="n"/>
      <c r="G438" s="40" t="n">
        <v>16.98</v>
      </c>
      <c r="H438" s="40" t="n">
        <v>20.75</v>
      </c>
      <c r="I438" s="41" t="n">
        <v>293</v>
      </c>
      <c r="J438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438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438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438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438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438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438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438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438" s="43">
        <f>(Dashboard!$C$13*tblHistory[[#This Row],[NDX S]]+Dashboard!$C$14*tblHistory[[#This Row],[SOX S]]+Dashboard!$C$15*tblHistory[[#This Row],[AIQ S]])/SUM(Dashboard!$C$13:$C$15)*100</f>
        <v/>
      </c>
      <c r="S438" s="43">
        <f>(Dashboard!$C$16*tblHistory[[#This Row],[ORCL S]]+Dashboard!$C$17*tblHistory[[#This Row],[CRWV S]])/SUM(Dashboard!$C$16:$C$17)*100</f>
        <v/>
      </c>
      <c r="T438" s="43">
        <f>(Dashboard!$C$18*tblHistory[[#This Row],[BIZD S]]+Dashboard!$C$19*tblHistory[[#This Row],[BKLN S]]+Dashboard!$C$20*tblHistory[[#This Row],[HY S]])/SUM(Dashboard!$C$18:$C$20)*100</f>
        <v/>
      </c>
      <c r="U438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438" s="43">
        <f>IFERROR(--(tblHistory[[#This Row],[Score]]&gt;=50),0)</f>
        <v/>
      </c>
      <c r="W438" s="43">
        <f>IFERROR(--AND(tblHistory[[#This Row],[Score]]&gt;=60,tblHistory[[#This Row],[BIZD S]]&gt;=0.8,tblHistory[[#This Row],[BKLN S]]&gt;=0.5),0)</f>
        <v/>
      </c>
      <c r="X438" s="43">
        <f>IFERROR(--AND(tblHistory[[#This Row],[Score]]&gt;=70,tblHistory[[#This Row],[SOX S]]&gt;=0.83,tblHistory[[#This Row],[AIQ S]]&gt;=0.8),0)</f>
        <v/>
      </c>
      <c r="Y438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438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438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438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438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439">
      <c r="A439" s="39" t="n">
        <v>45701</v>
      </c>
      <c r="B439" s="40" t="n">
        <v>19992.05</v>
      </c>
      <c r="C439" s="40" t="n">
        <v>7565.34</v>
      </c>
      <c r="D439" s="40" t="n">
        <v>42.47</v>
      </c>
      <c r="E439" s="40" t="n">
        <v>198.4</v>
      </c>
      <c r="F439" s="40" t="n"/>
      <c r="G439" s="40" t="n">
        <v>17</v>
      </c>
      <c r="H439" s="40" t="n">
        <v>20.73</v>
      </c>
      <c r="I439" s="41" t="n">
        <v>292</v>
      </c>
      <c r="J439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439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439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439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439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439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439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439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439" s="43">
        <f>(Dashboard!$C$13*tblHistory[[#This Row],[NDX S]]+Dashboard!$C$14*tblHistory[[#This Row],[SOX S]]+Dashboard!$C$15*tblHistory[[#This Row],[AIQ S]])/SUM(Dashboard!$C$13:$C$15)*100</f>
        <v/>
      </c>
      <c r="S439" s="43">
        <f>(Dashboard!$C$16*tblHistory[[#This Row],[ORCL S]]+Dashboard!$C$17*tblHistory[[#This Row],[CRWV S]])/SUM(Dashboard!$C$16:$C$17)*100</f>
        <v/>
      </c>
      <c r="T439" s="43">
        <f>(Dashboard!$C$18*tblHistory[[#This Row],[BIZD S]]+Dashboard!$C$19*tblHistory[[#This Row],[BKLN S]]+Dashboard!$C$20*tblHistory[[#This Row],[HY S]])/SUM(Dashboard!$C$18:$C$20)*100</f>
        <v/>
      </c>
      <c r="U439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439" s="43">
        <f>IFERROR(--(tblHistory[[#This Row],[Score]]&gt;=50),0)</f>
        <v/>
      </c>
      <c r="W439" s="43">
        <f>IFERROR(--AND(tblHistory[[#This Row],[Score]]&gt;=60,tblHistory[[#This Row],[BIZD S]]&gt;=0.8,tblHistory[[#This Row],[BKLN S]]&gt;=0.5),0)</f>
        <v/>
      </c>
      <c r="X439" s="43">
        <f>IFERROR(--AND(tblHistory[[#This Row],[Score]]&gt;=70,tblHistory[[#This Row],[SOX S]]&gt;=0.83,tblHistory[[#This Row],[AIQ S]]&gt;=0.8),0)</f>
        <v/>
      </c>
      <c r="Y439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439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439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439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439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440">
      <c r="A440" s="39" t="n">
        <v>45700</v>
      </c>
      <c r="B440" s="40" t="n">
        <v>19675.1</v>
      </c>
      <c r="C440" s="40" t="n">
        <v>7537.9</v>
      </c>
      <c r="D440" s="40" t="n">
        <v>43.06</v>
      </c>
      <c r="E440" s="40" t="n">
        <v>200.41</v>
      </c>
      <c r="F440" s="40" t="n"/>
      <c r="G440" s="40" t="n">
        <v>17.04</v>
      </c>
      <c r="H440" s="40" t="n">
        <v>20.7</v>
      </c>
      <c r="I440" s="41" t="n"/>
      <c r="J440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440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440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440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440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440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440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440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440" s="43">
        <f>(Dashboard!$C$13*tblHistory[[#This Row],[NDX S]]+Dashboard!$C$14*tblHistory[[#This Row],[SOX S]]+Dashboard!$C$15*tblHistory[[#This Row],[AIQ S]])/SUM(Dashboard!$C$13:$C$15)*100</f>
        <v/>
      </c>
      <c r="S440" s="43">
        <f>(Dashboard!$C$16*tblHistory[[#This Row],[ORCL S]]+Dashboard!$C$17*tblHistory[[#This Row],[CRWV S]])/SUM(Dashboard!$C$16:$C$17)*100</f>
        <v/>
      </c>
      <c r="T440" s="43">
        <f>(Dashboard!$C$18*tblHistory[[#This Row],[BIZD S]]+Dashboard!$C$19*tblHistory[[#This Row],[BKLN S]]+Dashboard!$C$20*tblHistory[[#This Row],[HY S]])/SUM(Dashboard!$C$18:$C$20)*100</f>
        <v/>
      </c>
      <c r="U440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440" s="43">
        <f>IFERROR(--(tblHistory[[#This Row],[Score]]&gt;=50),0)</f>
        <v/>
      </c>
      <c r="W440" s="43">
        <f>IFERROR(--AND(tblHistory[[#This Row],[Score]]&gt;=60,tblHistory[[#This Row],[BIZD S]]&gt;=0.8,tblHistory[[#This Row],[BKLN S]]&gt;=0.5),0)</f>
        <v/>
      </c>
      <c r="X440" s="43">
        <f>IFERROR(--AND(tblHistory[[#This Row],[Score]]&gt;=70,tblHistory[[#This Row],[SOX S]]&gt;=0.83,tblHistory[[#This Row],[AIQ S]]&gt;=0.8),0)</f>
        <v/>
      </c>
      <c r="Y440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440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440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440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440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441">
      <c r="A441" s="39" t="n">
        <v>45699</v>
      </c>
      <c r="B441" s="40" t="n">
        <v>20036.86</v>
      </c>
      <c r="C441" s="40" t="n">
        <v>7508.39</v>
      </c>
      <c r="D441" s="40" t="n">
        <v>43.06</v>
      </c>
      <c r="E441" s="40" t="n">
        <v>196.26</v>
      </c>
      <c r="F441" s="40" t="n"/>
      <c r="G441" s="40" t="n">
        <v>16.95</v>
      </c>
      <c r="H441" s="40" t="n">
        <v>20.75</v>
      </c>
      <c r="I441" s="41" t="n">
        <v>298</v>
      </c>
      <c r="J441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441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441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441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441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441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441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441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441" s="43">
        <f>(Dashboard!$C$13*tblHistory[[#This Row],[NDX S]]+Dashboard!$C$14*tblHistory[[#This Row],[SOX S]]+Dashboard!$C$15*tblHistory[[#This Row],[AIQ S]])/SUM(Dashboard!$C$13:$C$15)*100</f>
        <v/>
      </c>
      <c r="S441" s="43">
        <f>(Dashboard!$C$16*tblHistory[[#This Row],[ORCL S]]+Dashboard!$C$17*tblHistory[[#This Row],[CRWV S]])/SUM(Dashboard!$C$16:$C$17)*100</f>
        <v/>
      </c>
      <c r="T441" s="43">
        <f>(Dashboard!$C$18*tblHistory[[#This Row],[BIZD S]]+Dashboard!$C$19*tblHistory[[#This Row],[BKLN S]]+Dashboard!$C$20*tblHistory[[#This Row],[HY S]])/SUM(Dashboard!$C$18:$C$20)*100</f>
        <v/>
      </c>
      <c r="U441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441" s="43">
        <f>IFERROR(--(tblHistory[[#This Row],[Score]]&gt;=50),0)</f>
        <v/>
      </c>
      <c r="W441" s="43">
        <f>IFERROR(--AND(tblHistory[[#This Row],[Score]]&gt;=60,tblHistory[[#This Row],[BIZD S]]&gt;=0.8,tblHistory[[#This Row],[BKLN S]]&gt;=0.5),0)</f>
        <v/>
      </c>
      <c r="X441" s="43">
        <f>IFERROR(--AND(tblHistory[[#This Row],[Score]]&gt;=70,tblHistory[[#This Row],[SOX S]]&gt;=0.83,tblHistory[[#This Row],[AIQ S]]&gt;=0.8),0)</f>
        <v/>
      </c>
      <c r="Y441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441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441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441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441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442">
      <c r="A442" s="39" t="n">
        <v>45698</v>
      </c>
      <c r="B442" s="40" t="n">
        <v>19893.65</v>
      </c>
      <c r="C442" s="40" t="n">
        <v>7577.85</v>
      </c>
      <c r="D442" s="40" t="n">
        <v>43.67</v>
      </c>
      <c r="E442" s="40" t="n">
        <v>186.51</v>
      </c>
      <c r="F442" s="40" t="n"/>
      <c r="G442" s="40" t="n">
        <v>16.84</v>
      </c>
      <c r="H442" s="40" t="n">
        <v>20.78</v>
      </c>
      <c r="I442" s="41" t="n">
        <v>299</v>
      </c>
      <c r="J442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442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442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442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442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442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442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442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442" s="43">
        <f>(Dashboard!$C$13*tblHistory[[#This Row],[NDX S]]+Dashboard!$C$14*tblHistory[[#This Row],[SOX S]]+Dashboard!$C$15*tblHistory[[#This Row],[AIQ S]])/SUM(Dashboard!$C$13:$C$15)*100</f>
        <v/>
      </c>
      <c r="S442" s="43">
        <f>(Dashboard!$C$16*tblHistory[[#This Row],[ORCL S]]+Dashboard!$C$17*tblHistory[[#This Row],[CRWV S]])/SUM(Dashboard!$C$16:$C$17)*100</f>
        <v/>
      </c>
      <c r="T442" s="43">
        <f>(Dashboard!$C$18*tblHistory[[#This Row],[BIZD S]]+Dashboard!$C$19*tblHistory[[#This Row],[BKLN S]]+Dashboard!$C$20*tblHistory[[#This Row],[HY S]])/SUM(Dashboard!$C$18:$C$20)*100</f>
        <v/>
      </c>
      <c r="U442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442" s="43">
        <f>IFERROR(--(tblHistory[[#This Row],[Score]]&gt;=50),0)</f>
        <v/>
      </c>
      <c r="W442" s="43">
        <f>IFERROR(--AND(tblHistory[[#This Row],[Score]]&gt;=60,tblHistory[[#This Row],[BIZD S]]&gt;=0.8,tblHistory[[#This Row],[BKLN S]]&gt;=0.5),0)</f>
        <v/>
      </c>
      <c r="X442" s="43">
        <f>IFERROR(--AND(tblHistory[[#This Row],[Score]]&gt;=70,tblHistory[[#This Row],[SOX S]]&gt;=0.83,tblHistory[[#This Row],[AIQ S]]&gt;=0.8),0)</f>
        <v/>
      </c>
      <c r="Y442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442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442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442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442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443">
      <c r="A443" s="39" t="n">
        <v>45695</v>
      </c>
      <c r="B443" s="40" t="n">
        <v>19758.36</v>
      </c>
      <c r="C443" s="40" t="n">
        <v>7846</v>
      </c>
      <c r="D443" s="40" t="n">
        <v>43.66</v>
      </c>
      <c r="E443" s="40" t="n">
        <v>187.63</v>
      </c>
      <c r="F443" s="40" t="n"/>
      <c r="G443" s="40" t="n">
        <v>16.68</v>
      </c>
      <c r="H443" s="40" t="n">
        <v>20.78</v>
      </c>
      <c r="I443" s="41" t="n">
        <v>303</v>
      </c>
      <c r="J443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443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443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443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443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443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443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443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443" s="43">
        <f>(Dashboard!$C$13*tblHistory[[#This Row],[NDX S]]+Dashboard!$C$14*tblHistory[[#This Row],[SOX S]]+Dashboard!$C$15*tblHistory[[#This Row],[AIQ S]])/SUM(Dashboard!$C$13:$C$15)*100</f>
        <v/>
      </c>
      <c r="S443" s="43">
        <f>(Dashboard!$C$16*tblHistory[[#This Row],[ORCL S]]+Dashboard!$C$17*tblHistory[[#This Row],[CRWV S]])/SUM(Dashboard!$C$16:$C$17)*100</f>
        <v/>
      </c>
      <c r="T443" s="43">
        <f>(Dashboard!$C$18*tblHistory[[#This Row],[BIZD S]]+Dashboard!$C$19*tblHistory[[#This Row],[BKLN S]]+Dashboard!$C$20*tblHistory[[#This Row],[HY S]])/SUM(Dashboard!$C$18:$C$20)*100</f>
        <v/>
      </c>
      <c r="U443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443" s="43">
        <f>IFERROR(--(tblHistory[[#This Row],[Score]]&gt;=50),0)</f>
        <v/>
      </c>
      <c r="W443" s="43">
        <f>IFERROR(--AND(tblHistory[[#This Row],[Score]]&gt;=60,tblHistory[[#This Row],[BIZD S]]&gt;=0.8,tblHistory[[#This Row],[BKLN S]]&gt;=0.5),0)</f>
        <v/>
      </c>
      <c r="X443" s="43">
        <f>IFERROR(--AND(tblHistory[[#This Row],[Score]]&gt;=70,tblHistory[[#This Row],[SOX S]]&gt;=0.83,tblHistory[[#This Row],[AIQ S]]&gt;=0.8),0)</f>
        <v/>
      </c>
      <c r="Y443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443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443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443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443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444">
      <c r="A444" s="39" t="n">
        <v>45694</v>
      </c>
      <c r="B444" s="40" t="n">
        <v>19600.37</v>
      </c>
      <c r="C444" s="40" t="n">
        <v>7435.06</v>
      </c>
      <c r="D444" s="40" t="n">
        <v>43.59</v>
      </c>
      <c r="E444" s="40" t="n">
        <v>190.35</v>
      </c>
      <c r="F444" s="40" t="n"/>
      <c r="G444" s="40" t="n">
        <v>16.66</v>
      </c>
      <c r="H444" s="40" t="n">
        <v>20.77</v>
      </c>
      <c r="I444" s="41" t="n">
        <v>303</v>
      </c>
      <c r="J444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444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444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444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444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444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444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444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444" s="43">
        <f>(Dashboard!$C$13*tblHistory[[#This Row],[NDX S]]+Dashboard!$C$14*tblHistory[[#This Row],[SOX S]]+Dashboard!$C$15*tblHistory[[#This Row],[AIQ S]])/SUM(Dashboard!$C$13:$C$15)*100</f>
        <v/>
      </c>
      <c r="S444" s="43">
        <f>(Dashboard!$C$16*tblHistory[[#This Row],[ORCL S]]+Dashboard!$C$17*tblHistory[[#This Row],[CRWV S]])/SUM(Dashboard!$C$16:$C$17)*100</f>
        <v/>
      </c>
      <c r="T444" s="43">
        <f>(Dashboard!$C$18*tblHistory[[#This Row],[BIZD S]]+Dashboard!$C$19*tblHistory[[#This Row],[BKLN S]]+Dashboard!$C$20*tblHistory[[#This Row],[HY S]])/SUM(Dashboard!$C$18:$C$20)*100</f>
        <v/>
      </c>
      <c r="U444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444" s="43">
        <f>IFERROR(--(tblHistory[[#This Row],[Score]]&gt;=50),0)</f>
        <v/>
      </c>
      <c r="W444" s="43">
        <f>IFERROR(--AND(tblHistory[[#This Row],[Score]]&gt;=60,tblHistory[[#This Row],[BIZD S]]&gt;=0.8,tblHistory[[#This Row],[BKLN S]]&gt;=0.5),0)</f>
        <v/>
      </c>
      <c r="X444" s="43">
        <f>IFERROR(--AND(tblHistory[[#This Row],[Score]]&gt;=70,tblHistory[[#This Row],[SOX S]]&gt;=0.83,tblHistory[[#This Row],[AIQ S]]&gt;=0.8),0)</f>
        <v/>
      </c>
      <c r="Y444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444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444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444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444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445">
      <c r="A445" s="39" t="n">
        <v>45693</v>
      </c>
      <c r="B445" s="40" t="n">
        <v>19217.48</v>
      </c>
      <c r="C445" s="40" t="n">
        <v>7428.02</v>
      </c>
      <c r="D445" s="40" t="n">
        <v>42.48</v>
      </c>
      <c r="E445" s="40" t="n">
        <v>192.48</v>
      </c>
      <c r="F445" s="40" t="n"/>
      <c r="G445" s="40" t="n">
        <v>16.65</v>
      </c>
      <c r="H445" s="40" t="n">
        <v>20.8</v>
      </c>
      <c r="I445" s="41" t="n">
        <v>298</v>
      </c>
      <c r="J445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445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445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445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445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445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445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445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445" s="43">
        <f>(Dashboard!$C$13*tblHistory[[#This Row],[NDX S]]+Dashboard!$C$14*tblHistory[[#This Row],[SOX S]]+Dashboard!$C$15*tblHistory[[#This Row],[AIQ S]])/SUM(Dashboard!$C$13:$C$15)*100</f>
        <v/>
      </c>
      <c r="S445" s="43">
        <f>(Dashboard!$C$16*tblHistory[[#This Row],[ORCL S]]+Dashboard!$C$17*tblHistory[[#This Row],[CRWV S]])/SUM(Dashboard!$C$16:$C$17)*100</f>
        <v/>
      </c>
      <c r="T445" s="43">
        <f>(Dashboard!$C$18*tblHistory[[#This Row],[BIZD S]]+Dashboard!$C$19*tblHistory[[#This Row],[BKLN S]]+Dashboard!$C$20*tblHistory[[#This Row],[HY S]])/SUM(Dashboard!$C$18:$C$20)*100</f>
        <v/>
      </c>
      <c r="U445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445" s="43">
        <f>IFERROR(--(tblHistory[[#This Row],[Score]]&gt;=50),0)</f>
        <v/>
      </c>
      <c r="W445" s="43">
        <f>IFERROR(--AND(tblHistory[[#This Row],[Score]]&gt;=60,tblHistory[[#This Row],[BIZD S]]&gt;=0.8,tblHistory[[#This Row],[BKLN S]]&gt;=0.5),0)</f>
        <v/>
      </c>
      <c r="X445" s="43">
        <f>IFERROR(--AND(tblHistory[[#This Row],[Score]]&gt;=70,tblHistory[[#This Row],[SOX S]]&gt;=0.83,tblHistory[[#This Row],[AIQ S]]&gt;=0.8),0)</f>
        <v/>
      </c>
      <c r="Y445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445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445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445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445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446">
      <c r="A446" s="39" t="n">
        <v>45692</v>
      </c>
      <c r="B446" s="40" t="n">
        <v>19106.11</v>
      </c>
      <c r="C446" s="40" t="n">
        <v>7522.9</v>
      </c>
      <c r="D446" s="40" t="n">
        <v>43.32</v>
      </c>
      <c r="E446" s="40" t="n">
        <v>186.08</v>
      </c>
      <c r="F446" s="40" t="n"/>
      <c r="G446" s="40" t="n">
        <v>16.8</v>
      </c>
      <c r="H446" s="40" t="n">
        <v>20.79</v>
      </c>
      <c r="I446" s="41" t="n">
        <v>301</v>
      </c>
      <c r="J446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446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446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446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446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446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446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446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446" s="43">
        <f>(Dashboard!$C$13*tblHistory[[#This Row],[NDX S]]+Dashboard!$C$14*tblHistory[[#This Row],[SOX S]]+Dashboard!$C$15*tblHistory[[#This Row],[AIQ S]])/SUM(Dashboard!$C$13:$C$15)*100</f>
        <v/>
      </c>
      <c r="S446" s="43">
        <f>(Dashboard!$C$16*tblHistory[[#This Row],[ORCL S]]+Dashboard!$C$17*tblHistory[[#This Row],[CRWV S]])/SUM(Dashboard!$C$16:$C$17)*100</f>
        <v/>
      </c>
      <c r="T446" s="43">
        <f>(Dashboard!$C$18*tblHistory[[#This Row],[BIZD S]]+Dashboard!$C$19*tblHistory[[#This Row],[BKLN S]]+Dashboard!$C$20*tblHistory[[#This Row],[HY S]])/SUM(Dashboard!$C$18:$C$20)*100</f>
        <v/>
      </c>
      <c r="U446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446" s="43">
        <f>IFERROR(--(tblHistory[[#This Row],[Score]]&gt;=50),0)</f>
        <v/>
      </c>
      <c r="W446" s="43">
        <f>IFERROR(--AND(tblHistory[[#This Row],[Score]]&gt;=60,tblHistory[[#This Row],[BIZD S]]&gt;=0.8,tblHistory[[#This Row],[BKLN S]]&gt;=0.5),0)</f>
        <v/>
      </c>
      <c r="X446" s="43">
        <f>IFERROR(--AND(tblHistory[[#This Row],[Score]]&gt;=70,tblHistory[[#This Row],[SOX S]]&gt;=0.83,tblHistory[[#This Row],[AIQ S]]&gt;=0.8),0)</f>
        <v/>
      </c>
      <c r="Y446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446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446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446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446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447">
      <c r="A447" s="39" t="n">
        <v>45691</v>
      </c>
      <c r="B447" s="40" t="n">
        <v>19038.42</v>
      </c>
      <c r="C447" s="40" t="n">
        <v>7223.77</v>
      </c>
      <c r="D447" s="40" t="n">
        <v>43.12</v>
      </c>
      <c r="E447" s="40" t="n">
        <v>181.69</v>
      </c>
      <c r="F447" s="40" t="n"/>
      <c r="G447" s="40" t="n">
        <v>16.81</v>
      </c>
      <c r="H447" s="40" t="n">
        <v>20.8</v>
      </c>
      <c r="I447" s="41" t="n">
        <v>304</v>
      </c>
      <c r="J447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447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447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447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447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447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447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447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447" s="43">
        <f>(Dashboard!$C$13*tblHistory[[#This Row],[NDX S]]+Dashboard!$C$14*tblHistory[[#This Row],[SOX S]]+Dashboard!$C$15*tblHistory[[#This Row],[AIQ S]])/SUM(Dashboard!$C$13:$C$15)*100</f>
        <v/>
      </c>
      <c r="S447" s="43">
        <f>(Dashboard!$C$16*tblHistory[[#This Row],[ORCL S]]+Dashboard!$C$17*tblHistory[[#This Row],[CRWV S]])/SUM(Dashboard!$C$16:$C$17)*100</f>
        <v/>
      </c>
      <c r="T447" s="43">
        <f>(Dashboard!$C$18*tblHistory[[#This Row],[BIZD S]]+Dashboard!$C$19*tblHistory[[#This Row],[BKLN S]]+Dashboard!$C$20*tblHistory[[#This Row],[HY S]])/SUM(Dashboard!$C$18:$C$20)*100</f>
        <v/>
      </c>
      <c r="U447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447" s="43">
        <f>IFERROR(--(tblHistory[[#This Row],[Score]]&gt;=50),0)</f>
        <v/>
      </c>
      <c r="W447" s="43">
        <f>IFERROR(--AND(tblHistory[[#This Row],[Score]]&gt;=60,tblHistory[[#This Row],[BIZD S]]&gt;=0.8,tblHistory[[#This Row],[BKLN S]]&gt;=0.5),0)</f>
        <v/>
      </c>
      <c r="X447" s="43">
        <f>IFERROR(--AND(tblHistory[[#This Row],[Score]]&gt;=70,tblHistory[[#This Row],[SOX S]]&gt;=0.83,tblHistory[[#This Row],[AIQ S]]&gt;=0.8),0)</f>
        <v/>
      </c>
      <c r="Y447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447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447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447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447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448">
      <c r="A448" s="39" t="n">
        <v>45688</v>
      </c>
      <c r="B448" s="40" t="n">
        <v>18991.13</v>
      </c>
      <c r="C448" s="40" t="n">
        <v>7141.12</v>
      </c>
      <c r="D448" s="40" t="n">
        <v>42.74</v>
      </c>
      <c r="E448" s="40" t="n">
        <v>186.41</v>
      </c>
      <c r="F448" s="40" t="n"/>
      <c r="G448" s="40" t="n">
        <v>16.9</v>
      </c>
      <c r="H448" s="40" t="n">
        <v>20.85</v>
      </c>
      <c r="I448" s="41" t="n">
        <v>303</v>
      </c>
      <c r="J448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448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448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448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448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448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448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448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448" s="43">
        <f>(Dashboard!$C$13*tblHistory[[#This Row],[NDX S]]+Dashboard!$C$14*tblHistory[[#This Row],[SOX S]]+Dashboard!$C$15*tblHistory[[#This Row],[AIQ S]])/SUM(Dashboard!$C$13:$C$15)*100</f>
        <v/>
      </c>
      <c r="S448" s="43">
        <f>(Dashboard!$C$16*tblHistory[[#This Row],[ORCL S]]+Dashboard!$C$17*tblHistory[[#This Row],[CRWV S]])/SUM(Dashboard!$C$16:$C$17)*100</f>
        <v/>
      </c>
      <c r="T448" s="43">
        <f>(Dashboard!$C$18*tblHistory[[#This Row],[BIZD S]]+Dashboard!$C$19*tblHistory[[#This Row],[BKLN S]]+Dashboard!$C$20*tblHistory[[#This Row],[HY S]])/SUM(Dashboard!$C$18:$C$20)*100</f>
        <v/>
      </c>
      <c r="U448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448" s="43">
        <f>IFERROR(--(tblHistory[[#This Row],[Score]]&gt;=50),0)</f>
        <v/>
      </c>
      <c r="W448" s="43">
        <f>IFERROR(--AND(tblHistory[[#This Row],[Score]]&gt;=60,tblHistory[[#This Row],[BIZD S]]&gt;=0.8,tblHistory[[#This Row],[BKLN S]]&gt;=0.5),0)</f>
        <v/>
      </c>
      <c r="X448" s="43">
        <f>IFERROR(--AND(tblHistory[[#This Row],[Score]]&gt;=70,tblHistory[[#This Row],[SOX S]]&gt;=0.83,tblHistory[[#This Row],[AIQ S]]&gt;=0.8),0)</f>
        <v/>
      </c>
      <c r="Y448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448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448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448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448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449">
      <c r="A449" s="39" t="n">
        <v>45687</v>
      </c>
      <c r="B449" s="40" t="n">
        <v>18730.45</v>
      </c>
      <c r="C449" s="40" t="n">
        <v>7066.56</v>
      </c>
      <c r="D449" s="40" t="n">
        <v>41.62</v>
      </c>
      <c r="E449" s="40" t="n">
        <v>189.1</v>
      </c>
      <c r="F449" s="40" t="n"/>
      <c r="G449" s="40" t="n">
        <v>16.84</v>
      </c>
      <c r="H449" s="40" t="n">
        <v>20.83</v>
      </c>
      <c r="I449" s="41" t="n">
        <v>301</v>
      </c>
      <c r="J449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449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449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449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449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449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449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449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449" s="43">
        <f>(Dashboard!$C$13*tblHistory[[#This Row],[NDX S]]+Dashboard!$C$14*tblHistory[[#This Row],[SOX S]]+Dashboard!$C$15*tblHistory[[#This Row],[AIQ S]])/SUM(Dashboard!$C$13:$C$15)*100</f>
        <v/>
      </c>
      <c r="S449" s="43">
        <f>(Dashboard!$C$16*tblHistory[[#This Row],[ORCL S]]+Dashboard!$C$17*tblHistory[[#This Row],[CRWV S]])/SUM(Dashboard!$C$16:$C$17)*100</f>
        <v/>
      </c>
      <c r="T449" s="43">
        <f>(Dashboard!$C$18*tblHistory[[#This Row],[BIZD S]]+Dashboard!$C$19*tblHistory[[#This Row],[BKLN S]]+Dashboard!$C$20*tblHistory[[#This Row],[HY S]])/SUM(Dashboard!$C$18:$C$20)*100</f>
        <v/>
      </c>
      <c r="U449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449" s="43">
        <f>IFERROR(--(tblHistory[[#This Row],[Score]]&gt;=50),0)</f>
        <v/>
      </c>
      <c r="W449" s="43">
        <f>IFERROR(--AND(tblHistory[[#This Row],[Score]]&gt;=60,tblHistory[[#This Row],[BIZD S]]&gt;=0.8,tblHistory[[#This Row],[BKLN S]]&gt;=0.5),0)</f>
        <v/>
      </c>
      <c r="X449" s="43">
        <f>IFERROR(--AND(tblHistory[[#This Row],[Score]]&gt;=70,tblHistory[[#This Row],[SOX S]]&gt;=0.83,tblHistory[[#This Row],[AIQ S]]&gt;=0.8),0)</f>
        <v/>
      </c>
      <c r="Y449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449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449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449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449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450">
      <c r="A450" s="39" t="n">
        <v>45686</v>
      </c>
      <c r="B450" s="40" t="n">
        <v>18500.95</v>
      </c>
      <c r="C450" s="40" t="n">
        <v>7022.18</v>
      </c>
      <c r="D450" s="40" t="n">
        <v>41.17</v>
      </c>
      <c r="E450" s="40" t="n">
        <v>191.67</v>
      </c>
      <c r="F450" s="40" t="n"/>
      <c r="G450" s="40" t="n">
        <v>16.84</v>
      </c>
      <c r="H450" s="40" t="n">
        <v>20.79</v>
      </c>
      <c r="I450" s="41" t="n">
        <v>309</v>
      </c>
      <c r="J450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450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450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450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450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450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450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450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450" s="43">
        <f>(Dashboard!$C$13*tblHistory[[#This Row],[NDX S]]+Dashboard!$C$14*tblHistory[[#This Row],[SOX S]]+Dashboard!$C$15*tblHistory[[#This Row],[AIQ S]])/SUM(Dashboard!$C$13:$C$15)*100</f>
        <v/>
      </c>
      <c r="S450" s="43">
        <f>(Dashboard!$C$16*tblHistory[[#This Row],[ORCL S]]+Dashboard!$C$17*tblHistory[[#This Row],[CRWV S]])/SUM(Dashboard!$C$16:$C$17)*100</f>
        <v/>
      </c>
      <c r="T450" s="43">
        <f>(Dashboard!$C$18*tblHistory[[#This Row],[BIZD S]]+Dashboard!$C$19*tblHistory[[#This Row],[BKLN S]]+Dashboard!$C$20*tblHistory[[#This Row],[HY S]])/SUM(Dashboard!$C$18:$C$20)*100</f>
        <v/>
      </c>
      <c r="U450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450" s="43">
        <f>IFERROR(--(tblHistory[[#This Row],[Score]]&gt;=50),0)</f>
        <v/>
      </c>
      <c r="W450" s="43">
        <f>IFERROR(--AND(tblHistory[[#This Row],[Score]]&gt;=60,tblHistory[[#This Row],[BIZD S]]&gt;=0.8,tblHistory[[#This Row],[BKLN S]]&gt;=0.5),0)</f>
        <v/>
      </c>
      <c r="X450" s="43">
        <f>IFERROR(--AND(tblHistory[[#This Row],[Score]]&gt;=70,tblHistory[[#This Row],[SOX S]]&gt;=0.83,tblHistory[[#This Row],[AIQ S]]&gt;=0.8),0)</f>
        <v/>
      </c>
      <c r="Y450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450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450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450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450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451">
      <c r="A451" s="39" t="n">
        <v>45685</v>
      </c>
      <c r="B451" s="40" t="n">
        <v>18739.98</v>
      </c>
      <c r="C451" s="40" t="n">
        <v>7064.48</v>
      </c>
      <c r="D451" s="40" t="n">
        <v>41.31</v>
      </c>
      <c r="E451" s="40" t="n">
        <v>187.39</v>
      </c>
      <c r="F451" s="40" t="n"/>
      <c r="G451" s="40" t="n">
        <v>16.69</v>
      </c>
      <c r="H451" s="40" t="n">
        <v>20.78</v>
      </c>
      <c r="I451" s="41" t="n">
        <v>314</v>
      </c>
      <c r="J451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451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451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451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451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451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451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451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451" s="43">
        <f>(Dashboard!$C$13*tblHistory[[#This Row],[NDX S]]+Dashboard!$C$14*tblHistory[[#This Row],[SOX S]]+Dashboard!$C$15*tblHistory[[#This Row],[AIQ S]])/SUM(Dashboard!$C$13:$C$15)*100</f>
        <v/>
      </c>
      <c r="S451" s="43">
        <f>(Dashboard!$C$16*tblHistory[[#This Row],[ORCL S]]+Dashboard!$C$17*tblHistory[[#This Row],[CRWV S]])/SUM(Dashboard!$C$16:$C$17)*100</f>
        <v/>
      </c>
      <c r="T451" s="43">
        <f>(Dashboard!$C$18*tblHistory[[#This Row],[BIZD S]]+Dashboard!$C$19*tblHistory[[#This Row],[BKLN S]]+Dashboard!$C$20*tblHistory[[#This Row],[HY S]])/SUM(Dashboard!$C$18:$C$20)*100</f>
        <v/>
      </c>
      <c r="U451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451" s="43">
        <f>IFERROR(--(tblHistory[[#This Row],[Score]]&gt;=50),0)</f>
        <v/>
      </c>
      <c r="W451" s="43">
        <f>IFERROR(--AND(tblHistory[[#This Row],[Score]]&gt;=60,tblHistory[[#This Row],[BIZD S]]&gt;=0.8,tblHistory[[#This Row],[BKLN S]]&gt;=0.5),0)</f>
        <v/>
      </c>
      <c r="X451" s="43">
        <f>IFERROR(--AND(tblHistory[[#This Row],[Score]]&gt;=70,tblHistory[[#This Row],[SOX S]]&gt;=0.83,tblHistory[[#This Row],[AIQ S]]&gt;=0.8),0)</f>
        <v/>
      </c>
      <c r="Y451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451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451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451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451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452">
      <c r="A452" s="39" t="n">
        <v>45684</v>
      </c>
      <c r="B452" s="40" t="n">
        <v>18894.95</v>
      </c>
      <c r="C452" s="40" t="n">
        <v>7186.37</v>
      </c>
      <c r="D452" s="40" t="n">
        <v>41.59</v>
      </c>
      <c r="E452" s="40" t="n">
        <v>190.79</v>
      </c>
      <c r="F452" s="40" t="n"/>
      <c r="G452" s="40" t="n">
        <v>16.51</v>
      </c>
      <c r="H452" s="40" t="n">
        <v>20.84</v>
      </c>
      <c r="I452" s="41" t="n"/>
      <c r="J452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452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452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452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452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452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452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452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452" s="43">
        <f>(Dashboard!$C$13*tblHistory[[#This Row],[NDX S]]+Dashboard!$C$14*tblHistory[[#This Row],[SOX S]]+Dashboard!$C$15*tblHistory[[#This Row],[AIQ S]])/SUM(Dashboard!$C$13:$C$15)*100</f>
        <v/>
      </c>
      <c r="S452" s="43">
        <f>(Dashboard!$C$16*tblHistory[[#This Row],[ORCL S]]+Dashboard!$C$17*tblHistory[[#This Row],[CRWV S]])/SUM(Dashboard!$C$16:$C$17)*100</f>
        <v/>
      </c>
      <c r="T452" s="43">
        <f>(Dashboard!$C$18*tblHistory[[#This Row],[BIZD S]]+Dashboard!$C$19*tblHistory[[#This Row],[BKLN S]]+Dashboard!$C$20*tblHistory[[#This Row],[HY S]])/SUM(Dashboard!$C$18:$C$20)*100</f>
        <v/>
      </c>
      <c r="U452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452" s="43">
        <f>IFERROR(--(tblHistory[[#This Row],[Score]]&gt;=50),0)</f>
        <v/>
      </c>
      <c r="W452" s="43">
        <f>IFERROR(--AND(tblHistory[[#This Row],[Score]]&gt;=60,tblHistory[[#This Row],[BIZD S]]&gt;=0.8,tblHistory[[#This Row],[BKLN S]]&gt;=0.5),0)</f>
        <v/>
      </c>
      <c r="X452" s="43">
        <f>IFERROR(--AND(tblHistory[[#This Row],[Score]]&gt;=70,tblHistory[[#This Row],[SOX S]]&gt;=0.83,tblHistory[[#This Row],[AIQ S]]&gt;=0.8),0)</f>
        <v/>
      </c>
      <c r="Y452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452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452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452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452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453">
      <c r="A453" s="39" t="n">
        <v>45681</v>
      </c>
      <c r="B453" s="40" t="n">
        <v>18802.8</v>
      </c>
      <c r="C453" s="40" t="n">
        <v>7277.87</v>
      </c>
      <c r="D453" s="40" t="n">
        <v>41.44</v>
      </c>
      <c r="E453" s="40" t="n">
        <v>185.33</v>
      </c>
      <c r="F453" s="40" t="n"/>
      <c r="G453" s="40" t="n">
        <v>16.6</v>
      </c>
      <c r="H453" s="40" t="n">
        <v>20.88</v>
      </c>
      <c r="I453" s="41" t="n">
        <v>316</v>
      </c>
      <c r="J453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453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453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453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453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453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453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453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453" s="43">
        <f>(Dashboard!$C$13*tblHistory[[#This Row],[NDX S]]+Dashboard!$C$14*tblHistory[[#This Row],[SOX S]]+Dashboard!$C$15*tblHistory[[#This Row],[AIQ S]])/SUM(Dashboard!$C$13:$C$15)*100</f>
        <v/>
      </c>
      <c r="S453" s="43">
        <f>(Dashboard!$C$16*tblHistory[[#This Row],[ORCL S]]+Dashboard!$C$17*tblHistory[[#This Row],[CRWV S]])/SUM(Dashboard!$C$16:$C$17)*100</f>
        <v/>
      </c>
      <c r="T453" s="43">
        <f>(Dashboard!$C$18*tblHistory[[#This Row],[BIZD S]]+Dashboard!$C$19*tblHistory[[#This Row],[BKLN S]]+Dashboard!$C$20*tblHistory[[#This Row],[HY S]])/SUM(Dashboard!$C$18:$C$20)*100</f>
        <v/>
      </c>
      <c r="U453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453" s="43">
        <f>IFERROR(--(tblHistory[[#This Row],[Score]]&gt;=50),0)</f>
        <v/>
      </c>
      <c r="W453" s="43">
        <f>IFERROR(--AND(tblHistory[[#This Row],[Score]]&gt;=60,tblHistory[[#This Row],[BIZD S]]&gt;=0.8,tblHistory[[#This Row],[BKLN S]]&gt;=0.5),0)</f>
        <v/>
      </c>
      <c r="X453" s="43">
        <f>IFERROR(--AND(tblHistory[[#This Row],[Score]]&gt;=70,tblHistory[[#This Row],[SOX S]]&gt;=0.83,tblHistory[[#This Row],[AIQ S]]&gt;=0.8),0)</f>
        <v/>
      </c>
      <c r="Y453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453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453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453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453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454">
      <c r="A454" s="39" t="n">
        <v>45680</v>
      </c>
      <c r="B454" s="40" t="n">
        <v>19368.05</v>
      </c>
      <c r="C454" s="40" t="n">
        <v>7338.17</v>
      </c>
      <c r="D454" s="40" t="n">
        <v>41.44</v>
      </c>
      <c r="E454" s="40" t="n">
        <v>181.17</v>
      </c>
      <c r="F454" s="40" t="n"/>
      <c r="G454" s="40" t="n">
        <v>16.49</v>
      </c>
      <c r="H454" s="40" t="n">
        <v>20.9</v>
      </c>
      <c r="I454" s="41" t="n">
        <v>307</v>
      </c>
      <c r="J454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454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454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454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454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454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454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454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454" s="43">
        <f>(Dashboard!$C$13*tblHistory[[#This Row],[NDX S]]+Dashboard!$C$14*tblHistory[[#This Row],[SOX S]]+Dashboard!$C$15*tblHistory[[#This Row],[AIQ S]])/SUM(Dashboard!$C$13:$C$15)*100</f>
        <v/>
      </c>
      <c r="S454" s="43">
        <f>(Dashboard!$C$16*tblHistory[[#This Row],[ORCL S]]+Dashboard!$C$17*tblHistory[[#This Row],[CRWV S]])/SUM(Dashboard!$C$16:$C$17)*100</f>
        <v/>
      </c>
      <c r="T454" s="43">
        <f>(Dashboard!$C$18*tblHistory[[#This Row],[BIZD S]]+Dashboard!$C$19*tblHistory[[#This Row],[BKLN S]]+Dashboard!$C$20*tblHistory[[#This Row],[HY S]])/SUM(Dashboard!$C$18:$C$20)*100</f>
        <v/>
      </c>
      <c r="U454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454" s="43">
        <f>IFERROR(--(tblHistory[[#This Row],[Score]]&gt;=50),0)</f>
        <v/>
      </c>
      <c r="W454" s="43">
        <f>IFERROR(--AND(tblHistory[[#This Row],[Score]]&gt;=60,tblHistory[[#This Row],[BIZD S]]&gt;=0.8,tblHistory[[#This Row],[BKLN S]]&gt;=0.5),0)</f>
        <v/>
      </c>
      <c r="X454" s="43">
        <f>IFERROR(--AND(tblHistory[[#This Row],[Score]]&gt;=70,tblHistory[[#This Row],[SOX S]]&gt;=0.83,tblHistory[[#This Row],[AIQ S]]&gt;=0.8),0)</f>
        <v/>
      </c>
      <c r="Y454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454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454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454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454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455">
      <c r="A455" s="39" t="n">
        <v>45679</v>
      </c>
      <c r="B455" s="40" t="n">
        <v>19802.81</v>
      </c>
      <c r="C455" s="40" t="n">
        <v>7349.1</v>
      </c>
      <c r="D455" s="40" t="n">
        <v>42.2</v>
      </c>
      <c r="E455" s="40" t="n">
        <v>178.99</v>
      </c>
      <c r="F455" s="40" t="n"/>
      <c r="G455" s="40" t="n">
        <v>16.44</v>
      </c>
      <c r="H455" s="40" t="n">
        <v>20.89</v>
      </c>
      <c r="I455" s="41" t="n">
        <v>310</v>
      </c>
      <c r="J455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455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455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455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455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455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455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455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455" s="43">
        <f>(Dashboard!$C$13*tblHistory[[#This Row],[NDX S]]+Dashboard!$C$14*tblHistory[[#This Row],[SOX S]]+Dashboard!$C$15*tblHistory[[#This Row],[AIQ S]])/SUM(Dashboard!$C$13:$C$15)*100</f>
        <v/>
      </c>
      <c r="S455" s="43">
        <f>(Dashboard!$C$16*tblHistory[[#This Row],[ORCL S]]+Dashboard!$C$17*tblHistory[[#This Row],[CRWV S]])/SUM(Dashboard!$C$16:$C$17)*100</f>
        <v/>
      </c>
      <c r="T455" s="43">
        <f>(Dashboard!$C$18*tblHistory[[#This Row],[BIZD S]]+Dashboard!$C$19*tblHistory[[#This Row],[BKLN S]]+Dashboard!$C$20*tblHistory[[#This Row],[HY S]])/SUM(Dashboard!$C$18:$C$20)*100</f>
        <v/>
      </c>
      <c r="U455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455" s="43">
        <f>IFERROR(--(tblHistory[[#This Row],[Score]]&gt;=50),0)</f>
        <v/>
      </c>
      <c r="W455" s="43">
        <f>IFERROR(--AND(tblHistory[[#This Row],[Score]]&gt;=60,tblHistory[[#This Row],[BIZD S]]&gt;=0.8,tblHistory[[#This Row],[BKLN S]]&gt;=0.5),0)</f>
        <v/>
      </c>
      <c r="X455" s="43">
        <f>IFERROR(--AND(tblHistory[[#This Row],[Score]]&gt;=70,tblHistory[[#This Row],[SOX S]]&gt;=0.83,tblHistory[[#This Row],[AIQ S]]&gt;=0.8),0)</f>
        <v/>
      </c>
      <c r="Y455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455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455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455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455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456">
      <c r="A456" s="39" t="n">
        <v>45678</v>
      </c>
      <c r="B456" s="40" t="n">
        <v>19654.02</v>
      </c>
      <c r="C456" s="40" t="n">
        <v>7237.61</v>
      </c>
      <c r="D456" s="40" t="n">
        <v>41.47</v>
      </c>
      <c r="E456" s="40" t="n">
        <v>183.9</v>
      </c>
      <c r="F456" s="40" t="n"/>
      <c r="G456" s="40" t="n">
        <v>16.38</v>
      </c>
      <c r="H456" s="40" t="n">
        <v>20.86</v>
      </c>
      <c r="I456" s="41" t="n">
        <v>299</v>
      </c>
      <c r="J456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456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456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456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456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456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456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456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456" s="43">
        <f>(Dashboard!$C$13*tblHistory[[#This Row],[NDX S]]+Dashboard!$C$14*tblHistory[[#This Row],[SOX S]]+Dashboard!$C$15*tblHistory[[#This Row],[AIQ S]])/SUM(Dashboard!$C$13:$C$15)*100</f>
        <v/>
      </c>
      <c r="S456" s="43">
        <f>(Dashboard!$C$16*tblHistory[[#This Row],[ORCL S]]+Dashboard!$C$17*tblHistory[[#This Row],[CRWV S]])/SUM(Dashboard!$C$16:$C$17)*100</f>
        <v/>
      </c>
      <c r="T456" s="43">
        <f>(Dashboard!$C$18*tblHistory[[#This Row],[BIZD S]]+Dashboard!$C$19*tblHistory[[#This Row],[BKLN S]]+Dashboard!$C$20*tblHistory[[#This Row],[HY S]])/SUM(Dashboard!$C$18:$C$20)*100</f>
        <v/>
      </c>
      <c r="U456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456" s="43">
        <f>IFERROR(--(tblHistory[[#This Row],[Score]]&gt;=50),0)</f>
        <v/>
      </c>
      <c r="W456" s="43">
        <f>IFERROR(--AND(tblHistory[[#This Row],[Score]]&gt;=60,tblHistory[[#This Row],[BIZD S]]&gt;=0.8,tblHistory[[#This Row],[BKLN S]]&gt;=0.5),0)</f>
        <v/>
      </c>
      <c r="X456" s="43">
        <f>IFERROR(--AND(tblHistory[[#This Row],[Score]]&gt;=70,tblHistory[[#This Row],[SOX S]]&gt;=0.83,tblHistory[[#This Row],[AIQ S]]&gt;=0.8),0)</f>
        <v/>
      </c>
      <c r="Y456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456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456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456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456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457">
      <c r="A457" s="39" t="n">
        <v>45677</v>
      </c>
      <c r="B457" s="40" t="n">
        <v>19304.95</v>
      </c>
      <c r="C457" s="40" t="n">
        <v>7020.54</v>
      </c>
      <c r="D457" s="40" t="n">
        <v>41.21</v>
      </c>
      <c r="E457" s="40" t="n">
        <v>180.23</v>
      </c>
      <c r="F457" s="40" t="n"/>
      <c r="G457" s="40" t="n">
        <v>16.43</v>
      </c>
      <c r="H457" s="40" t="n">
        <v>20.87</v>
      </c>
      <c r="I457" s="41" t="n">
        <v>294</v>
      </c>
      <c r="J457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457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457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457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457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457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457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457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457" s="43">
        <f>(Dashboard!$C$13*tblHistory[[#This Row],[NDX S]]+Dashboard!$C$14*tblHistory[[#This Row],[SOX S]]+Dashboard!$C$15*tblHistory[[#This Row],[AIQ S]])/SUM(Dashboard!$C$13:$C$15)*100</f>
        <v/>
      </c>
      <c r="S457" s="43">
        <f>(Dashboard!$C$16*tblHistory[[#This Row],[ORCL S]]+Dashboard!$C$17*tblHistory[[#This Row],[CRWV S]])/SUM(Dashboard!$C$16:$C$17)*100</f>
        <v/>
      </c>
      <c r="T457" s="43">
        <f>(Dashboard!$C$18*tblHistory[[#This Row],[BIZD S]]+Dashboard!$C$19*tblHistory[[#This Row],[BKLN S]]+Dashboard!$C$20*tblHistory[[#This Row],[HY S]])/SUM(Dashboard!$C$18:$C$20)*100</f>
        <v/>
      </c>
      <c r="U457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457" s="43">
        <f>IFERROR(--(tblHistory[[#This Row],[Score]]&gt;=50),0)</f>
        <v/>
      </c>
      <c r="W457" s="43">
        <f>IFERROR(--AND(tblHistory[[#This Row],[Score]]&gt;=60,tblHistory[[#This Row],[BIZD S]]&gt;=0.8,tblHistory[[#This Row],[BKLN S]]&gt;=0.5),0)</f>
        <v/>
      </c>
      <c r="X457" s="43">
        <f>IFERROR(--AND(tblHistory[[#This Row],[Score]]&gt;=70,tblHistory[[#This Row],[SOX S]]&gt;=0.83,tblHistory[[#This Row],[AIQ S]]&gt;=0.8),0)</f>
        <v/>
      </c>
      <c r="Y457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457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457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457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457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458">
      <c r="A458" s="39" t="n">
        <v>45674</v>
      </c>
      <c r="B458" s="40" t="n">
        <v>19238.04</v>
      </c>
      <c r="C458" s="40" t="n">
        <v>7080.53</v>
      </c>
      <c r="D458" s="40" t="n">
        <v>41.29</v>
      </c>
      <c r="E458" s="40" t="n">
        <v>183.29</v>
      </c>
      <c r="F458" s="40" t="n"/>
      <c r="G458" s="40" t="n">
        <v>16.53</v>
      </c>
      <c r="H458" s="40" t="n">
        <v>20.9</v>
      </c>
      <c r="I458" s="41" t="n">
        <v>292</v>
      </c>
      <c r="J458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458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458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458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458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458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458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458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458" s="43">
        <f>(Dashboard!$C$13*tblHistory[[#This Row],[NDX S]]+Dashboard!$C$14*tblHistory[[#This Row],[SOX S]]+Dashboard!$C$15*tblHistory[[#This Row],[AIQ S]])/SUM(Dashboard!$C$13:$C$15)*100</f>
        <v/>
      </c>
      <c r="S458" s="43">
        <f>(Dashboard!$C$16*tblHistory[[#This Row],[ORCL S]]+Dashboard!$C$17*tblHistory[[#This Row],[CRWV S]])/SUM(Dashboard!$C$16:$C$17)*100</f>
        <v/>
      </c>
      <c r="T458" s="43">
        <f>(Dashboard!$C$18*tblHistory[[#This Row],[BIZD S]]+Dashboard!$C$19*tblHistory[[#This Row],[BKLN S]]+Dashboard!$C$20*tblHistory[[#This Row],[HY S]])/SUM(Dashboard!$C$18:$C$20)*100</f>
        <v/>
      </c>
      <c r="U458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458" s="43">
        <f>IFERROR(--(tblHistory[[#This Row],[Score]]&gt;=50),0)</f>
        <v/>
      </c>
      <c r="W458" s="43">
        <f>IFERROR(--AND(tblHistory[[#This Row],[Score]]&gt;=60,tblHistory[[#This Row],[BIZD S]]&gt;=0.8,tblHistory[[#This Row],[BKLN S]]&gt;=0.5),0)</f>
        <v/>
      </c>
      <c r="X458" s="43">
        <f>IFERROR(--AND(tblHistory[[#This Row],[Score]]&gt;=70,tblHistory[[#This Row],[SOX S]]&gt;=0.83,tblHistory[[#This Row],[AIQ S]]&gt;=0.8),0)</f>
        <v/>
      </c>
      <c r="Y458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458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458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458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458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459">
      <c r="A459" s="39" t="n">
        <v>45673</v>
      </c>
      <c r="B459" s="40" t="n">
        <v>19565.78</v>
      </c>
      <c r="C459" s="40" t="n">
        <v>7054.16</v>
      </c>
      <c r="D459" s="40" t="n">
        <v>40.99</v>
      </c>
      <c r="E459" s="40" t="n">
        <v>183.03</v>
      </c>
      <c r="F459" s="40" t="n"/>
      <c r="G459" s="40" t="n">
        <v>16.46</v>
      </c>
      <c r="H459" s="40" t="n">
        <v>20.91</v>
      </c>
      <c r="I459" s="41" t="n">
        <v>287</v>
      </c>
      <c r="J459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459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459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459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459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459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459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459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459" s="43">
        <f>(Dashboard!$C$13*tblHistory[[#This Row],[NDX S]]+Dashboard!$C$14*tblHistory[[#This Row],[SOX S]]+Dashboard!$C$15*tblHistory[[#This Row],[AIQ S]])/SUM(Dashboard!$C$13:$C$15)*100</f>
        <v/>
      </c>
      <c r="S459" s="43">
        <f>(Dashboard!$C$16*tblHistory[[#This Row],[ORCL S]]+Dashboard!$C$17*tblHistory[[#This Row],[CRWV S]])/SUM(Dashboard!$C$16:$C$17)*100</f>
        <v/>
      </c>
      <c r="T459" s="43">
        <f>(Dashboard!$C$18*tblHistory[[#This Row],[BIZD S]]+Dashboard!$C$19*tblHistory[[#This Row],[BKLN S]]+Dashboard!$C$20*tblHistory[[#This Row],[HY S]])/SUM(Dashboard!$C$18:$C$20)*100</f>
        <v/>
      </c>
      <c r="U459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459" s="43">
        <f>IFERROR(--(tblHistory[[#This Row],[Score]]&gt;=50),0)</f>
        <v/>
      </c>
      <c r="W459" s="43">
        <f>IFERROR(--AND(tblHistory[[#This Row],[Score]]&gt;=60,tblHistory[[#This Row],[BIZD S]]&gt;=0.8,tblHistory[[#This Row],[BKLN S]]&gt;=0.5),0)</f>
        <v/>
      </c>
      <c r="X459" s="43">
        <f>IFERROR(--AND(tblHistory[[#This Row],[Score]]&gt;=70,tblHistory[[#This Row],[SOX S]]&gt;=0.83,tblHistory[[#This Row],[AIQ S]]&gt;=0.8),0)</f>
        <v/>
      </c>
      <c r="Y459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459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459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459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459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460">
      <c r="A460" s="39" t="n">
        <v>45672</v>
      </c>
      <c r="B460" s="40" t="n">
        <v>20036.66</v>
      </c>
      <c r="C460" s="40" t="n">
        <v>7171.3</v>
      </c>
      <c r="D460" s="40" t="n">
        <v>40.92</v>
      </c>
      <c r="E460" s="40" t="n">
        <v>184.17</v>
      </c>
      <c r="F460" s="40" t="n"/>
      <c r="G460" s="40" t="n">
        <v>16.58</v>
      </c>
      <c r="H460" s="40" t="n">
        <v>20.9</v>
      </c>
      <c r="I460" s="41" t="n">
        <v>276</v>
      </c>
      <c r="J460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460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460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460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460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460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460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460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460" s="43">
        <f>(Dashboard!$C$13*tblHistory[[#This Row],[NDX S]]+Dashboard!$C$14*tblHistory[[#This Row],[SOX S]]+Dashboard!$C$15*tblHistory[[#This Row],[AIQ S]])/SUM(Dashboard!$C$13:$C$15)*100</f>
        <v/>
      </c>
      <c r="S460" s="43">
        <f>(Dashboard!$C$16*tblHistory[[#This Row],[ORCL S]]+Dashboard!$C$17*tblHistory[[#This Row],[CRWV S]])/SUM(Dashboard!$C$16:$C$17)*100</f>
        <v/>
      </c>
      <c r="T460" s="43">
        <f>(Dashboard!$C$18*tblHistory[[#This Row],[BIZD S]]+Dashboard!$C$19*tblHistory[[#This Row],[BKLN S]]+Dashboard!$C$20*tblHistory[[#This Row],[HY S]])/SUM(Dashboard!$C$18:$C$20)*100</f>
        <v/>
      </c>
      <c r="U460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460" s="43">
        <f>IFERROR(--(tblHistory[[#This Row],[Score]]&gt;=50),0)</f>
        <v/>
      </c>
      <c r="W460" s="43">
        <f>IFERROR(--AND(tblHistory[[#This Row],[Score]]&gt;=60,tblHistory[[#This Row],[BIZD S]]&gt;=0.8,tblHistory[[#This Row],[BKLN S]]&gt;=0.5),0)</f>
        <v/>
      </c>
      <c r="X460" s="43">
        <f>IFERROR(--AND(tblHistory[[#This Row],[Score]]&gt;=70,tblHistory[[#This Row],[SOX S]]&gt;=0.83,tblHistory[[#This Row],[AIQ S]]&gt;=0.8),0)</f>
        <v/>
      </c>
      <c r="Y460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460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460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460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460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461">
      <c r="A461" s="39" t="n">
        <v>45671</v>
      </c>
      <c r="B461" s="40" t="n">
        <v>19717.32</v>
      </c>
      <c r="C461" s="40" t="n">
        <v>7197.91</v>
      </c>
      <c r="D461" s="40" t="n">
        <v>40.23</v>
      </c>
      <c r="E461" s="40" t="n">
        <v>177.81</v>
      </c>
      <c r="F461" s="40" t="n"/>
      <c r="G461" s="40" t="n">
        <v>16.47</v>
      </c>
      <c r="H461" s="40" t="n">
        <v>20.87</v>
      </c>
      <c r="I461" s="41" t="n">
        <v>282</v>
      </c>
      <c r="J461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461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461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461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461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461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461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461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461" s="43">
        <f>(Dashboard!$C$13*tblHistory[[#This Row],[NDX S]]+Dashboard!$C$14*tblHistory[[#This Row],[SOX S]]+Dashboard!$C$15*tblHistory[[#This Row],[AIQ S]])/SUM(Dashboard!$C$13:$C$15)*100</f>
        <v/>
      </c>
      <c r="S461" s="43">
        <f>(Dashboard!$C$16*tblHistory[[#This Row],[ORCL S]]+Dashboard!$C$17*tblHistory[[#This Row],[CRWV S]])/SUM(Dashboard!$C$16:$C$17)*100</f>
        <v/>
      </c>
      <c r="T461" s="43">
        <f>(Dashboard!$C$18*tblHistory[[#This Row],[BIZD S]]+Dashboard!$C$19*tblHistory[[#This Row],[BKLN S]]+Dashboard!$C$20*tblHistory[[#This Row],[HY S]])/SUM(Dashboard!$C$18:$C$20)*100</f>
        <v/>
      </c>
      <c r="U461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461" s="43">
        <f>IFERROR(--(tblHistory[[#This Row],[Score]]&gt;=50),0)</f>
        <v/>
      </c>
      <c r="W461" s="43">
        <f>IFERROR(--AND(tblHistory[[#This Row],[Score]]&gt;=60,tblHistory[[#This Row],[BIZD S]]&gt;=0.8,tblHistory[[#This Row],[BKLN S]]&gt;=0.5),0)</f>
        <v/>
      </c>
      <c r="X461" s="43">
        <f>IFERROR(--AND(tblHistory[[#This Row],[Score]]&gt;=70,tblHistory[[#This Row],[SOX S]]&gt;=0.83,tblHistory[[#This Row],[AIQ S]]&gt;=0.8),0)</f>
        <v/>
      </c>
      <c r="Y461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461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461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461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461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462">
      <c r="A462" s="39" t="n">
        <v>45670</v>
      </c>
      <c r="B462" s="40" t="n">
        <v>19831.49</v>
      </c>
      <c r="C462" s="40" t="n">
        <v>7129.25</v>
      </c>
      <c r="D462" s="40" t="n">
        <v>39.88</v>
      </c>
      <c r="E462" s="40" t="n">
        <v>174.15</v>
      </c>
      <c r="F462" s="40" t="n"/>
      <c r="G462" s="40" t="n">
        <v>16.57</v>
      </c>
      <c r="H462" s="40" t="n">
        <v>20.83</v>
      </c>
      <c r="I462" s="41" t="n">
        <v>282</v>
      </c>
      <c r="J462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462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462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462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462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462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462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462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462" s="43">
        <f>(Dashboard!$C$13*tblHistory[[#This Row],[NDX S]]+Dashboard!$C$14*tblHistory[[#This Row],[SOX S]]+Dashboard!$C$15*tblHistory[[#This Row],[AIQ S]])/SUM(Dashboard!$C$13:$C$15)*100</f>
        <v/>
      </c>
      <c r="S462" s="43">
        <f>(Dashboard!$C$16*tblHistory[[#This Row],[ORCL S]]+Dashboard!$C$17*tblHistory[[#This Row],[CRWV S]])/SUM(Dashboard!$C$16:$C$17)*100</f>
        <v/>
      </c>
      <c r="T462" s="43">
        <f>(Dashboard!$C$18*tblHistory[[#This Row],[BIZD S]]+Dashboard!$C$19*tblHistory[[#This Row],[BKLN S]]+Dashboard!$C$20*tblHistory[[#This Row],[HY S]])/SUM(Dashboard!$C$18:$C$20)*100</f>
        <v/>
      </c>
      <c r="U462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462" s="43">
        <f>IFERROR(--(tblHistory[[#This Row],[Score]]&gt;=50),0)</f>
        <v/>
      </c>
      <c r="W462" s="43">
        <f>IFERROR(--AND(tblHistory[[#This Row],[Score]]&gt;=60,tblHistory[[#This Row],[BIZD S]]&gt;=0.8,tblHistory[[#This Row],[BKLN S]]&gt;=0.5),0)</f>
        <v/>
      </c>
      <c r="X462" s="43">
        <f>IFERROR(--AND(tblHistory[[#This Row],[Score]]&gt;=70,tblHistory[[#This Row],[SOX S]]&gt;=0.83,tblHistory[[#This Row],[AIQ S]]&gt;=0.8),0)</f>
        <v/>
      </c>
      <c r="Y462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462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462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462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462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463">
      <c r="A463" s="39" t="n">
        <v>45667</v>
      </c>
      <c r="B463" s="40" t="n">
        <v>20051.06</v>
      </c>
      <c r="C463" s="40" t="n">
        <v>7082.59</v>
      </c>
      <c r="D463" s="40" t="n">
        <v>39.02</v>
      </c>
      <c r="E463" s="40" t="n">
        <v>168.87</v>
      </c>
      <c r="F463" s="40" t="n"/>
      <c r="G463" s="40" t="n">
        <v>16.49</v>
      </c>
      <c r="H463" s="40" t="n">
        <v>20.81</v>
      </c>
      <c r="I463" s="41" t="n">
        <v>288</v>
      </c>
      <c r="J463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463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463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463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463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463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463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463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463" s="43">
        <f>(Dashboard!$C$13*tblHistory[[#This Row],[NDX S]]+Dashboard!$C$14*tblHistory[[#This Row],[SOX S]]+Dashboard!$C$15*tblHistory[[#This Row],[AIQ S]])/SUM(Dashboard!$C$13:$C$15)*100</f>
        <v/>
      </c>
      <c r="S463" s="43">
        <f>(Dashboard!$C$16*tblHistory[[#This Row],[ORCL S]]+Dashboard!$C$17*tblHistory[[#This Row],[CRWV S]])/SUM(Dashboard!$C$16:$C$17)*100</f>
        <v/>
      </c>
      <c r="T463" s="43">
        <f>(Dashboard!$C$18*tblHistory[[#This Row],[BIZD S]]+Dashboard!$C$19*tblHistory[[#This Row],[BKLN S]]+Dashboard!$C$20*tblHistory[[#This Row],[HY S]])/SUM(Dashboard!$C$18:$C$20)*100</f>
        <v/>
      </c>
      <c r="U463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463" s="43">
        <f>IFERROR(--(tblHistory[[#This Row],[Score]]&gt;=50),0)</f>
        <v/>
      </c>
      <c r="W463" s="43">
        <f>IFERROR(--AND(tblHistory[[#This Row],[Score]]&gt;=60,tblHistory[[#This Row],[BIZD S]]&gt;=0.8,tblHistory[[#This Row],[BKLN S]]&gt;=0.5),0)</f>
        <v/>
      </c>
      <c r="X463" s="43">
        <f>IFERROR(--AND(tblHistory[[#This Row],[Score]]&gt;=70,tblHistory[[#This Row],[SOX S]]&gt;=0.83,tblHistory[[#This Row],[AIQ S]]&gt;=0.8),0)</f>
        <v/>
      </c>
      <c r="Y463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463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463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463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463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464">
      <c r="A464" s="39" t="n">
        <v>45666</v>
      </c>
      <c r="B464" s="40" t="n">
        <v>20345.5</v>
      </c>
      <c r="C464" s="40" t="n">
        <v>7087.25</v>
      </c>
      <c r="D464" s="40" t="n">
        <v>38.79</v>
      </c>
      <c r="E464" s="40" t="n">
        <v>170.79</v>
      </c>
      <c r="F464" s="40" t="n"/>
      <c r="G464" s="40" t="n">
        <v>16.34</v>
      </c>
      <c r="H464" s="40" t="n">
        <v>20.81</v>
      </c>
      <c r="I464" s="41" t="n">
        <v>281</v>
      </c>
      <c r="J464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464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464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464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464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464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464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464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464" s="43">
        <f>(Dashboard!$C$13*tblHistory[[#This Row],[NDX S]]+Dashboard!$C$14*tblHistory[[#This Row],[SOX S]]+Dashboard!$C$15*tblHistory[[#This Row],[AIQ S]])/SUM(Dashboard!$C$13:$C$15)*100</f>
        <v/>
      </c>
      <c r="S464" s="43">
        <f>(Dashboard!$C$16*tblHistory[[#This Row],[ORCL S]]+Dashboard!$C$17*tblHistory[[#This Row],[CRWV S]])/SUM(Dashboard!$C$16:$C$17)*100</f>
        <v/>
      </c>
      <c r="T464" s="43">
        <f>(Dashboard!$C$18*tblHistory[[#This Row],[BIZD S]]+Dashboard!$C$19*tblHistory[[#This Row],[BKLN S]]+Dashboard!$C$20*tblHistory[[#This Row],[HY S]])/SUM(Dashboard!$C$18:$C$20)*100</f>
        <v/>
      </c>
      <c r="U464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464" s="43">
        <f>IFERROR(--(tblHistory[[#This Row],[Score]]&gt;=50),0)</f>
        <v/>
      </c>
      <c r="W464" s="43">
        <f>IFERROR(--AND(tblHistory[[#This Row],[Score]]&gt;=60,tblHistory[[#This Row],[BIZD S]]&gt;=0.8,tblHistory[[#This Row],[BKLN S]]&gt;=0.5),0)</f>
        <v/>
      </c>
      <c r="X464" s="43">
        <f>IFERROR(--AND(tblHistory[[#This Row],[Score]]&gt;=70,tblHistory[[#This Row],[SOX S]]&gt;=0.83,tblHistory[[#This Row],[AIQ S]]&gt;=0.8),0)</f>
        <v/>
      </c>
      <c r="Y464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464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464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464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464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465">
      <c r="A465" s="39" t="n">
        <v>45665</v>
      </c>
      <c r="B465" s="40" t="n">
        <v>20444.05</v>
      </c>
      <c r="C465" s="40" t="n">
        <v>7278.46</v>
      </c>
      <c r="D465" s="40" t="n">
        <v>39.08</v>
      </c>
      <c r="E465" s="40" t="n">
        <v>171.93</v>
      </c>
      <c r="F465" s="40" t="n"/>
      <c r="G465" s="40" t="n">
        <v>16.45</v>
      </c>
      <c r="H465" s="40" t="n">
        <v>20.81</v>
      </c>
      <c r="I465" s="41" t="n">
        <v>278</v>
      </c>
      <c r="J465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465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465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465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465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465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465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465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465" s="43">
        <f>(Dashboard!$C$13*tblHistory[[#This Row],[NDX S]]+Dashboard!$C$14*tblHistory[[#This Row],[SOX S]]+Dashboard!$C$15*tblHistory[[#This Row],[AIQ S]])/SUM(Dashboard!$C$13:$C$15)*100</f>
        <v/>
      </c>
      <c r="S465" s="43">
        <f>(Dashboard!$C$16*tblHistory[[#This Row],[ORCL S]]+Dashboard!$C$17*tblHistory[[#This Row],[CRWV S]])/SUM(Dashboard!$C$16:$C$17)*100</f>
        <v/>
      </c>
      <c r="T465" s="43">
        <f>(Dashboard!$C$18*tblHistory[[#This Row],[BIZD S]]+Dashboard!$C$19*tblHistory[[#This Row],[BKLN S]]+Dashboard!$C$20*tblHistory[[#This Row],[HY S]])/SUM(Dashboard!$C$18:$C$20)*100</f>
        <v/>
      </c>
      <c r="U465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465" s="43">
        <f>IFERROR(--(tblHistory[[#This Row],[Score]]&gt;=50),0)</f>
        <v/>
      </c>
      <c r="W465" s="43">
        <f>IFERROR(--AND(tblHistory[[#This Row],[Score]]&gt;=60,tblHistory[[#This Row],[BIZD S]]&gt;=0.8,tblHistory[[#This Row],[BKLN S]]&gt;=0.5),0)</f>
        <v/>
      </c>
      <c r="X465" s="43">
        <f>IFERROR(--AND(tblHistory[[#This Row],[Score]]&gt;=70,tblHistory[[#This Row],[SOX S]]&gt;=0.83,tblHistory[[#This Row],[AIQ S]]&gt;=0.8),0)</f>
        <v/>
      </c>
      <c r="Y465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465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465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465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465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466">
      <c r="A466" s="39" t="n">
        <v>45664</v>
      </c>
      <c r="B466" s="40" t="n">
        <v>20582.34</v>
      </c>
      <c r="C466" s="40" t="n">
        <v>7270.04</v>
      </c>
      <c r="D466" s="40" t="n">
        <v>38.88</v>
      </c>
      <c r="E466" s="40" t="n">
        <v>171.22</v>
      </c>
      <c r="F466" s="40" t="n"/>
      <c r="G466" s="40" t="n">
        <v>16.5</v>
      </c>
      <c r="H466" s="40" t="n">
        <v>20.78</v>
      </c>
      <c r="I466" s="41" t="n">
        <v>289</v>
      </c>
      <c r="J466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466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466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466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466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466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466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466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466" s="43">
        <f>(Dashboard!$C$13*tblHistory[[#This Row],[NDX S]]+Dashboard!$C$14*tblHistory[[#This Row],[SOX S]]+Dashboard!$C$15*tblHistory[[#This Row],[AIQ S]])/SUM(Dashboard!$C$13:$C$15)*100</f>
        <v/>
      </c>
      <c r="S466" s="43">
        <f>(Dashboard!$C$16*tblHistory[[#This Row],[ORCL S]]+Dashboard!$C$17*tblHistory[[#This Row],[CRWV S]])/SUM(Dashboard!$C$16:$C$17)*100</f>
        <v/>
      </c>
      <c r="T466" s="43">
        <f>(Dashboard!$C$18*tblHistory[[#This Row],[BIZD S]]+Dashboard!$C$19*tblHistory[[#This Row],[BKLN S]]+Dashboard!$C$20*tblHistory[[#This Row],[HY S]])/SUM(Dashboard!$C$18:$C$20)*100</f>
        <v/>
      </c>
      <c r="U466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466" s="43">
        <f>IFERROR(--(tblHistory[[#This Row],[Score]]&gt;=50),0)</f>
        <v/>
      </c>
      <c r="W466" s="43">
        <f>IFERROR(--AND(tblHistory[[#This Row],[Score]]&gt;=60,tblHistory[[#This Row],[BIZD S]]&gt;=0.8,tblHistory[[#This Row],[BKLN S]]&gt;=0.5),0)</f>
        <v/>
      </c>
      <c r="X466" s="43">
        <f>IFERROR(--AND(tblHistory[[#This Row],[Score]]&gt;=70,tblHistory[[#This Row],[SOX S]]&gt;=0.83,tblHistory[[#This Row],[AIQ S]]&gt;=0.8),0)</f>
        <v/>
      </c>
      <c r="Y466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466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466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466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466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467">
      <c r="A467" s="39" t="n">
        <v>45663</v>
      </c>
      <c r="B467" s="40" t="n">
        <v>20418.63</v>
      </c>
      <c r="C467" s="40" t="n">
        <v>7416.72</v>
      </c>
      <c r="D467" s="40" t="n">
        <v>38.27</v>
      </c>
      <c r="E467" s="40" t="n">
        <v>170.62</v>
      </c>
      <c r="F467" s="40" t="n"/>
      <c r="G467" s="40" t="n">
        <v>16.49</v>
      </c>
      <c r="H467" s="40" t="n">
        <v>20.81</v>
      </c>
      <c r="I467" s="41" t="n">
        <v>291</v>
      </c>
      <c r="J467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467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467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467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467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467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467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467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467" s="43">
        <f>(Dashboard!$C$13*tblHistory[[#This Row],[NDX S]]+Dashboard!$C$14*tblHistory[[#This Row],[SOX S]]+Dashboard!$C$15*tblHistory[[#This Row],[AIQ S]])/SUM(Dashboard!$C$13:$C$15)*100</f>
        <v/>
      </c>
      <c r="S467" s="43">
        <f>(Dashboard!$C$16*tblHistory[[#This Row],[ORCL S]]+Dashboard!$C$17*tblHistory[[#This Row],[CRWV S]])/SUM(Dashboard!$C$16:$C$17)*100</f>
        <v/>
      </c>
      <c r="T467" s="43">
        <f>(Dashboard!$C$18*tblHistory[[#This Row],[BIZD S]]+Dashboard!$C$19*tblHistory[[#This Row],[BKLN S]]+Dashboard!$C$20*tblHistory[[#This Row],[HY S]])/SUM(Dashboard!$C$18:$C$20)*100</f>
        <v/>
      </c>
      <c r="U467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467" s="43">
        <f>IFERROR(--(tblHistory[[#This Row],[Score]]&gt;=50),0)</f>
        <v/>
      </c>
      <c r="W467" s="43">
        <f>IFERROR(--AND(tblHistory[[#This Row],[Score]]&gt;=60,tblHistory[[#This Row],[BIZD S]]&gt;=0.8,tblHistory[[#This Row],[BKLN S]]&gt;=0.5),0)</f>
        <v/>
      </c>
      <c r="X467" s="43">
        <f>IFERROR(--AND(tblHistory[[#This Row],[Score]]&gt;=70,tblHistory[[#This Row],[SOX S]]&gt;=0.83,tblHistory[[#This Row],[AIQ S]]&gt;=0.8),0)</f>
        <v/>
      </c>
      <c r="Y467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467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467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467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467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468">
      <c r="A468" s="39" t="n">
        <v>45660</v>
      </c>
      <c r="B468" s="40" t="n">
        <v>20727.01</v>
      </c>
      <c r="C468" s="40" t="n">
        <v>7428.61</v>
      </c>
      <c r="D468" s="40" t="n">
        <v>37.18</v>
      </c>
      <c r="E468" s="40" t="n">
        <v>165.63</v>
      </c>
      <c r="F468" s="40" t="n"/>
      <c r="G468" s="40" t="n">
        <v>16.41</v>
      </c>
      <c r="H468" s="40" t="n">
        <v>20.81</v>
      </c>
      <c r="I468" s="41" t="n">
        <v>287</v>
      </c>
      <c r="J468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468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468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468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468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468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468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468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468" s="43">
        <f>(Dashboard!$C$13*tblHistory[[#This Row],[NDX S]]+Dashboard!$C$14*tblHistory[[#This Row],[SOX S]]+Dashboard!$C$15*tblHistory[[#This Row],[AIQ S]])/SUM(Dashboard!$C$13:$C$15)*100</f>
        <v/>
      </c>
      <c r="S468" s="43">
        <f>(Dashboard!$C$16*tblHistory[[#This Row],[ORCL S]]+Dashboard!$C$17*tblHistory[[#This Row],[CRWV S]])/SUM(Dashboard!$C$16:$C$17)*100</f>
        <v/>
      </c>
      <c r="T468" s="43">
        <f>(Dashboard!$C$18*tblHistory[[#This Row],[BIZD S]]+Dashboard!$C$19*tblHistory[[#This Row],[BKLN S]]+Dashboard!$C$20*tblHistory[[#This Row],[HY S]])/SUM(Dashboard!$C$18:$C$20)*100</f>
        <v/>
      </c>
      <c r="U468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468" s="43">
        <f>IFERROR(--(tblHistory[[#This Row],[Score]]&gt;=50),0)</f>
        <v/>
      </c>
      <c r="W468" s="43">
        <f>IFERROR(--AND(tblHistory[[#This Row],[Score]]&gt;=60,tblHistory[[#This Row],[BIZD S]]&gt;=0.8,tblHistory[[#This Row],[BKLN S]]&gt;=0.5),0)</f>
        <v/>
      </c>
      <c r="X468" s="43">
        <f>IFERROR(--AND(tblHistory[[#This Row],[Score]]&gt;=70,tblHistory[[#This Row],[SOX S]]&gt;=0.83,tblHistory[[#This Row],[AIQ S]]&gt;=0.8),0)</f>
        <v/>
      </c>
      <c r="Y468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468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468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468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468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469">
      <c r="A469" s="39" t="n">
        <v>45659</v>
      </c>
      <c r="B469" s="40" t="n">
        <v>20684.96</v>
      </c>
      <c r="C469" s="40" t="n">
        <v>7467.65</v>
      </c>
      <c r="D469" s="40" t="n">
        <v>37.15</v>
      </c>
      <c r="E469" s="40" t="n">
        <v>165.99</v>
      </c>
      <c r="F469" s="40" t="n"/>
      <c r="G469" s="40" t="n">
        <v>16.21</v>
      </c>
      <c r="H469" s="40" t="n">
        <v>20.83</v>
      </c>
      <c r="I469" s="41" t="n">
        <v>287</v>
      </c>
      <c r="J469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469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469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469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469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469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469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469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469" s="43">
        <f>(Dashboard!$C$13*tblHistory[[#This Row],[NDX S]]+Dashboard!$C$14*tblHistory[[#This Row],[SOX S]]+Dashboard!$C$15*tblHistory[[#This Row],[AIQ S]])/SUM(Dashboard!$C$13:$C$15)*100</f>
        <v/>
      </c>
      <c r="S469" s="43">
        <f>(Dashboard!$C$16*tblHistory[[#This Row],[ORCL S]]+Dashboard!$C$17*tblHistory[[#This Row],[CRWV S]])/SUM(Dashboard!$C$16:$C$17)*100</f>
        <v/>
      </c>
      <c r="T469" s="43">
        <f>(Dashboard!$C$18*tblHistory[[#This Row],[BIZD S]]+Dashboard!$C$19*tblHistory[[#This Row],[BKLN S]]+Dashboard!$C$20*tblHistory[[#This Row],[HY S]])/SUM(Dashboard!$C$18:$C$20)*100</f>
        <v/>
      </c>
      <c r="U469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469" s="43">
        <f>IFERROR(--(tblHistory[[#This Row],[Score]]&gt;=50),0)</f>
        <v/>
      </c>
      <c r="W469" s="43">
        <f>IFERROR(--AND(tblHistory[[#This Row],[Score]]&gt;=60,tblHistory[[#This Row],[BIZD S]]&gt;=0.8,tblHistory[[#This Row],[BKLN S]]&gt;=0.5),0)</f>
        <v/>
      </c>
      <c r="X469" s="43">
        <f>IFERROR(--AND(tblHistory[[#This Row],[Score]]&gt;=70,tblHistory[[#This Row],[SOX S]]&gt;=0.83,tblHistory[[#This Row],[AIQ S]]&gt;=0.8),0)</f>
        <v/>
      </c>
      <c r="Y469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469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469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469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469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470">
      <c r="A470" s="39" t="n">
        <v>45658</v>
      </c>
      <c r="B470" s="40" t="n">
        <v>20582.88</v>
      </c>
      <c r="C470" s="40" t="n">
        <v>7471.02</v>
      </c>
      <c r="D470" s="40" t="n">
        <v>37.43</v>
      </c>
      <c r="E470" s="40" t="n">
        <v>165.96</v>
      </c>
      <c r="F470" s="40" t="n"/>
      <c r="G470" s="40" t="n">
        <v>16.34</v>
      </c>
      <c r="H470" s="40" t="n">
        <v>20.87</v>
      </c>
      <c r="I470" s="41" t="n">
        <v>290</v>
      </c>
      <c r="J470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470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470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470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470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470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470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470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470" s="43">
        <f>(Dashboard!$C$13*tblHistory[[#This Row],[NDX S]]+Dashboard!$C$14*tblHistory[[#This Row],[SOX S]]+Dashboard!$C$15*tblHistory[[#This Row],[AIQ S]])/SUM(Dashboard!$C$13:$C$15)*100</f>
        <v/>
      </c>
      <c r="S470" s="43">
        <f>(Dashboard!$C$16*tblHistory[[#This Row],[ORCL S]]+Dashboard!$C$17*tblHistory[[#This Row],[CRWV S]])/SUM(Dashboard!$C$16:$C$17)*100</f>
        <v/>
      </c>
      <c r="T470" s="43">
        <f>(Dashboard!$C$18*tblHistory[[#This Row],[BIZD S]]+Dashboard!$C$19*tblHistory[[#This Row],[BKLN S]]+Dashboard!$C$20*tblHistory[[#This Row],[HY S]])/SUM(Dashboard!$C$18:$C$20)*100</f>
        <v/>
      </c>
      <c r="U470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470" s="43">
        <f>IFERROR(--(tblHistory[[#This Row],[Score]]&gt;=50),0)</f>
        <v/>
      </c>
      <c r="W470" s="43">
        <f>IFERROR(--AND(tblHistory[[#This Row],[Score]]&gt;=60,tblHistory[[#This Row],[BIZD S]]&gt;=0.8,tblHistory[[#This Row],[BKLN S]]&gt;=0.5),0)</f>
        <v/>
      </c>
      <c r="X470" s="43">
        <f>IFERROR(--AND(tblHistory[[#This Row],[Score]]&gt;=70,tblHistory[[#This Row],[SOX S]]&gt;=0.83,tblHistory[[#This Row],[AIQ S]]&gt;=0.8),0)</f>
        <v/>
      </c>
      <c r="Y470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470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470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470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470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471">
      <c r="A471" s="39" t="n">
        <v>45657</v>
      </c>
      <c r="B471" s="40" t="n">
        <v>20217.98</v>
      </c>
      <c r="C471" s="40" t="n">
        <v>7531.26</v>
      </c>
      <c r="D471" s="40" t="n">
        <v>36.69</v>
      </c>
      <c r="E471" s="40" t="n">
        <v>157.48</v>
      </c>
      <c r="F471" s="40" t="n"/>
      <c r="G471" s="40" t="n">
        <v>16.42</v>
      </c>
      <c r="H471" s="40" t="n">
        <v>20.88</v>
      </c>
      <c r="I471" s="41" t="n">
        <v>297</v>
      </c>
      <c r="J471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471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471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471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471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471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471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471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471" s="43">
        <f>(Dashboard!$C$13*tblHistory[[#This Row],[NDX S]]+Dashboard!$C$14*tblHistory[[#This Row],[SOX S]]+Dashboard!$C$15*tblHistory[[#This Row],[AIQ S]])/SUM(Dashboard!$C$13:$C$15)*100</f>
        <v/>
      </c>
      <c r="S471" s="43">
        <f>(Dashboard!$C$16*tblHistory[[#This Row],[ORCL S]]+Dashboard!$C$17*tblHistory[[#This Row],[CRWV S]])/SUM(Dashboard!$C$16:$C$17)*100</f>
        <v/>
      </c>
      <c r="T471" s="43">
        <f>(Dashboard!$C$18*tblHistory[[#This Row],[BIZD S]]+Dashboard!$C$19*tblHistory[[#This Row],[BKLN S]]+Dashboard!$C$20*tblHistory[[#This Row],[HY S]])/SUM(Dashboard!$C$18:$C$20)*100</f>
        <v/>
      </c>
      <c r="U471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471" s="43">
        <f>IFERROR(--(tblHistory[[#This Row],[Score]]&gt;=50),0)</f>
        <v/>
      </c>
      <c r="W471" s="43">
        <f>IFERROR(--AND(tblHistory[[#This Row],[Score]]&gt;=60,tblHistory[[#This Row],[BIZD S]]&gt;=0.8,tblHistory[[#This Row],[BKLN S]]&gt;=0.5),0)</f>
        <v/>
      </c>
      <c r="X471" s="43">
        <f>IFERROR(--AND(tblHistory[[#This Row],[Score]]&gt;=70,tblHistory[[#This Row],[SOX S]]&gt;=0.83,tblHistory[[#This Row],[AIQ S]]&gt;=0.8),0)</f>
        <v/>
      </c>
      <c r="Y471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471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471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471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471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472">
      <c r="A472" s="39" t="n">
        <v>45656</v>
      </c>
      <c r="B472" s="40" t="n">
        <v>19977.82</v>
      </c>
      <c r="C472" s="40" t="n">
        <v>7359.73</v>
      </c>
      <c r="D472" s="40" t="n">
        <v>37.08</v>
      </c>
      <c r="E472" s="40" t="n">
        <v>157.57</v>
      </c>
      <c r="F472" s="40" t="n"/>
      <c r="G472" s="40" t="n">
        <v>16.48</v>
      </c>
      <c r="H472" s="40" t="n">
        <v>20.9</v>
      </c>
      <c r="I472" s="41" t="n">
        <v>290</v>
      </c>
      <c r="J472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472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472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472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472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472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472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472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472" s="43">
        <f>(Dashboard!$C$13*tblHistory[[#This Row],[NDX S]]+Dashboard!$C$14*tblHistory[[#This Row],[SOX S]]+Dashboard!$C$15*tblHistory[[#This Row],[AIQ S]])/SUM(Dashboard!$C$13:$C$15)*100</f>
        <v/>
      </c>
      <c r="S472" s="43">
        <f>(Dashboard!$C$16*tblHistory[[#This Row],[ORCL S]]+Dashboard!$C$17*tblHistory[[#This Row],[CRWV S]])/SUM(Dashboard!$C$16:$C$17)*100</f>
        <v/>
      </c>
      <c r="T472" s="43">
        <f>(Dashboard!$C$18*tblHistory[[#This Row],[BIZD S]]+Dashboard!$C$19*tblHistory[[#This Row],[BKLN S]]+Dashboard!$C$20*tblHistory[[#This Row],[HY S]])/SUM(Dashboard!$C$18:$C$20)*100</f>
        <v/>
      </c>
      <c r="U472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472" s="43">
        <f>IFERROR(--(tblHistory[[#This Row],[Score]]&gt;=50),0)</f>
        <v/>
      </c>
      <c r="W472" s="43">
        <f>IFERROR(--AND(tblHistory[[#This Row],[Score]]&gt;=60,tblHistory[[#This Row],[BIZD S]]&gt;=0.8,tblHistory[[#This Row],[BKLN S]]&gt;=0.5),0)</f>
        <v/>
      </c>
      <c r="X472" s="43">
        <f>IFERROR(--AND(tblHistory[[#This Row],[Score]]&gt;=70,tblHistory[[#This Row],[SOX S]]&gt;=0.83,tblHistory[[#This Row],[AIQ S]]&gt;=0.8),0)</f>
        <v/>
      </c>
      <c r="Y472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472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472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472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472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473">
      <c r="A473" s="39" t="n">
        <v>45653</v>
      </c>
      <c r="B473" s="40" t="n">
        <v>19806.11</v>
      </c>
      <c r="C473" s="40" t="n">
        <v>7584.63</v>
      </c>
      <c r="D473" s="40" t="n">
        <v>37.37</v>
      </c>
      <c r="E473" s="40" t="n">
        <v>155.66</v>
      </c>
      <c r="F473" s="40" t="n"/>
      <c r="G473" s="40" t="n">
        <v>16.51</v>
      </c>
      <c r="H473" s="40" t="n">
        <v>20.9</v>
      </c>
      <c r="I473" s="41" t="n">
        <v>286</v>
      </c>
      <c r="J473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473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473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473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473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473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473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473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473" s="43">
        <f>(Dashboard!$C$13*tblHistory[[#This Row],[NDX S]]+Dashboard!$C$14*tblHistory[[#This Row],[SOX S]]+Dashboard!$C$15*tblHistory[[#This Row],[AIQ S]])/SUM(Dashboard!$C$13:$C$15)*100</f>
        <v/>
      </c>
      <c r="S473" s="43">
        <f>(Dashboard!$C$16*tblHistory[[#This Row],[ORCL S]]+Dashboard!$C$17*tblHistory[[#This Row],[CRWV S]])/SUM(Dashboard!$C$16:$C$17)*100</f>
        <v/>
      </c>
      <c r="T473" s="43">
        <f>(Dashboard!$C$18*tblHistory[[#This Row],[BIZD S]]+Dashboard!$C$19*tblHistory[[#This Row],[BKLN S]]+Dashboard!$C$20*tblHistory[[#This Row],[HY S]])/SUM(Dashboard!$C$18:$C$20)*100</f>
        <v/>
      </c>
      <c r="U473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473" s="43">
        <f>IFERROR(--(tblHistory[[#This Row],[Score]]&gt;=50),0)</f>
        <v/>
      </c>
      <c r="W473" s="43">
        <f>IFERROR(--AND(tblHistory[[#This Row],[Score]]&gt;=60,tblHistory[[#This Row],[BIZD S]]&gt;=0.8,tblHistory[[#This Row],[BKLN S]]&gt;=0.5),0)</f>
        <v/>
      </c>
      <c r="X473" s="43">
        <f>IFERROR(--AND(tblHistory[[#This Row],[Score]]&gt;=70,tblHistory[[#This Row],[SOX S]]&gt;=0.83,tblHistory[[#This Row],[AIQ S]]&gt;=0.8),0)</f>
        <v/>
      </c>
      <c r="Y473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473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473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473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473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474">
      <c r="A474" s="39" t="n">
        <v>45652</v>
      </c>
      <c r="B474" s="40" t="n">
        <v>19598.56</v>
      </c>
      <c r="C474" s="40" t="n">
        <v>7799.21</v>
      </c>
      <c r="D474" s="40" t="n">
        <v>37.52</v>
      </c>
      <c r="E474" s="40" t="n">
        <v>162.69</v>
      </c>
      <c r="F474" s="40" t="n"/>
      <c r="G474" s="40" t="n">
        <v>16.38</v>
      </c>
      <c r="H474" s="40" t="n">
        <v>20.89</v>
      </c>
      <c r="I474" s="41" t="n">
        <v>285</v>
      </c>
      <c r="J474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474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474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474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474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474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474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474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474" s="43">
        <f>(Dashboard!$C$13*tblHistory[[#This Row],[NDX S]]+Dashboard!$C$14*tblHistory[[#This Row],[SOX S]]+Dashboard!$C$15*tblHistory[[#This Row],[AIQ S]])/SUM(Dashboard!$C$13:$C$15)*100</f>
        <v/>
      </c>
      <c r="S474" s="43">
        <f>(Dashboard!$C$16*tblHistory[[#This Row],[ORCL S]]+Dashboard!$C$17*tblHistory[[#This Row],[CRWV S]])/SUM(Dashboard!$C$16:$C$17)*100</f>
        <v/>
      </c>
      <c r="T474" s="43">
        <f>(Dashboard!$C$18*tblHistory[[#This Row],[BIZD S]]+Dashboard!$C$19*tblHistory[[#This Row],[BKLN S]]+Dashboard!$C$20*tblHistory[[#This Row],[HY S]])/SUM(Dashboard!$C$18:$C$20)*100</f>
        <v/>
      </c>
      <c r="U474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474" s="43">
        <f>IFERROR(--(tblHistory[[#This Row],[Score]]&gt;=50),0)</f>
        <v/>
      </c>
      <c r="W474" s="43">
        <f>IFERROR(--AND(tblHistory[[#This Row],[Score]]&gt;=60,tblHistory[[#This Row],[BIZD S]]&gt;=0.8,tblHistory[[#This Row],[BKLN S]]&gt;=0.5),0)</f>
        <v/>
      </c>
      <c r="X474" s="43">
        <f>IFERROR(--AND(tblHistory[[#This Row],[Score]]&gt;=70,tblHistory[[#This Row],[SOX S]]&gt;=0.83,tblHistory[[#This Row],[AIQ S]]&gt;=0.8),0)</f>
        <v/>
      </c>
      <c r="Y474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474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474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474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474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475">
      <c r="A475" s="39" t="n">
        <v>45651</v>
      </c>
      <c r="B475" s="40" t="n">
        <v>19934.11</v>
      </c>
      <c r="C475" s="40" t="n">
        <v>7975.81</v>
      </c>
      <c r="D475" s="40" t="n">
        <v>37.92</v>
      </c>
      <c r="E475" s="40" t="n">
        <v>166.3</v>
      </c>
      <c r="F475" s="40" t="n"/>
      <c r="G475" s="40" t="n">
        <v>16.24</v>
      </c>
      <c r="H475" s="40" t="n">
        <v>20.95</v>
      </c>
      <c r="I475" s="41" t="n">
        <v>284</v>
      </c>
      <c r="J475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475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475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475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475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475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475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475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475" s="43">
        <f>(Dashboard!$C$13*tblHistory[[#This Row],[NDX S]]+Dashboard!$C$14*tblHistory[[#This Row],[SOX S]]+Dashboard!$C$15*tblHistory[[#This Row],[AIQ S]])/SUM(Dashboard!$C$13:$C$15)*100</f>
        <v/>
      </c>
      <c r="S475" s="43">
        <f>(Dashboard!$C$16*tblHistory[[#This Row],[ORCL S]]+Dashboard!$C$17*tblHistory[[#This Row],[CRWV S]])/SUM(Dashboard!$C$16:$C$17)*100</f>
        <v/>
      </c>
      <c r="T475" s="43">
        <f>(Dashboard!$C$18*tblHistory[[#This Row],[BIZD S]]+Dashboard!$C$19*tblHistory[[#This Row],[BKLN S]]+Dashboard!$C$20*tblHistory[[#This Row],[HY S]])/SUM(Dashboard!$C$18:$C$20)*100</f>
        <v/>
      </c>
      <c r="U475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475" s="43">
        <f>IFERROR(--(tblHistory[[#This Row],[Score]]&gt;=50),0)</f>
        <v/>
      </c>
      <c r="W475" s="43">
        <f>IFERROR(--AND(tblHistory[[#This Row],[Score]]&gt;=60,tblHistory[[#This Row],[BIZD S]]&gt;=0.8,tblHistory[[#This Row],[BKLN S]]&gt;=0.5),0)</f>
        <v/>
      </c>
      <c r="X475" s="43">
        <f>IFERROR(--AND(tblHistory[[#This Row],[Score]]&gt;=70,tblHistory[[#This Row],[SOX S]]&gt;=0.83,tblHistory[[#This Row],[AIQ S]]&gt;=0.8),0)</f>
        <v/>
      </c>
      <c r="Y475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475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475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475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475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476">
      <c r="A476" s="39" t="n">
        <v>45650</v>
      </c>
      <c r="B476" s="40" t="n">
        <v>19937.04</v>
      </c>
      <c r="C476" s="40" t="n">
        <v>7766.07</v>
      </c>
      <c r="D476" s="40" t="n">
        <v>37.85</v>
      </c>
      <c r="E476" s="40" t="n">
        <v>169.81</v>
      </c>
      <c r="F476" s="40" t="n"/>
      <c r="G476" s="40" t="n">
        <v>16.28</v>
      </c>
      <c r="H476" s="40" t="n">
        <v>20.99</v>
      </c>
      <c r="I476" s="41" t="n">
        <v>291</v>
      </c>
      <c r="J476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476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476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476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476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476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476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476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476" s="43">
        <f>(Dashboard!$C$13*tblHistory[[#This Row],[NDX S]]+Dashboard!$C$14*tblHistory[[#This Row],[SOX S]]+Dashboard!$C$15*tblHistory[[#This Row],[AIQ S]])/SUM(Dashboard!$C$13:$C$15)*100</f>
        <v/>
      </c>
      <c r="S476" s="43">
        <f>(Dashboard!$C$16*tblHistory[[#This Row],[ORCL S]]+Dashboard!$C$17*tblHistory[[#This Row],[CRWV S]])/SUM(Dashboard!$C$16:$C$17)*100</f>
        <v/>
      </c>
      <c r="T476" s="43">
        <f>(Dashboard!$C$18*tblHistory[[#This Row],[BIZD S]]+Dashboard!$C$19*tblHistory[[#This Row],[BKLN S]]+Dashboard!$C$20*tblHistory[[#This Row],[HY S]])/SUM(Dashboard!$C$18:$C$20)*100</f>
        <v/>
      </c>
      <c r="U476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476" s="43">
        <f>IFERROR(--(tblHistory[[#This Row],[Score]]&gt;=50),0)</f>
        <v/>
      </c>
      <c r="W476" s="43">
        <f>IFERROR(--AND(tblHistory[[#This Row],[Score]]&gt;=60,tblHistory[[#This Row],[BIZD S]]&gt;=0.8,tblHistory[[#This Row],[BKLN S]]&gt;=0.5),0)</f>
        <v/>
      </c>
      <c r="X476" s="43">
        <f>IFERROR(--AND(tblHistory[[#This Row],[Score]]&gt;=70,tblHistory[[#This Row],[SOX S]]&gt;=0.83,tblHistory[[#This Row],[AIQ S]]&gt;=0.8),0)</f>
        <v/>
      </c>
      <c r="Y476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476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476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476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476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477">
      <c r="A477" s="39" t="n">
        <v>45649</v>
      </c>
      <c r="B477" s="40" t="n">
        <v>19806.51</v>
      </c>
      <c r="C477" s="40" t="n">
        <v>7501.6</v>
      </c>
      <c r="D477" s="40" t="n">
        <v>37.13</v>
      </c>
      <c r="E477" s="40" t="n">
        <v>171.1</v>
      </c>
      <c r="F477" s="40" t="n"/>
      <c r="G477" s="40" t="n">
        <v>16.42</v>
      </c>
      <c r="H477" s="40" t="n">
        <v>21</v>
      </c>
      <c r="I477" s="41" t="n">
        <v>286</v>
      </c>
      <c r="J477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477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477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477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477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477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477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477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477" s="43">
        <f>(Dashboard!$C$13*tblHistory[[#This Row],[NDX S]]+Dashboard!$C$14*tblHistory[[#This Row],[SOX S]]+Dashboard!$C$15*tblHistory[[#This Row],[AIQ S]])/SUM(Dashboard!$C$13:$C$15)*100</f>
        <v/>
      </c>
      <c r="S477" s="43">
        <f>(Dashboard!$C$16*tblHistory[[#This Row],[ORCL S]]+Dashboard!$C$17*tblHistory[[#This Row],[CRWV S]])/SUM(Dashboard!$C$16:$C$17)*100</f>
        <v/>
      </c>
      <c r="T477" s="43">
        <f>(Dashboard!$C$18*tblHistory[[#This Row],[BIZD S]]+Dashboard!$C$19*tblHistory[[#This Row],[BKLN S]]+Dashboard!$C$20*tblHistory[[#This Row],[HY S]])/SUM(Dashboard!$C$18:$C$20)*100</f>
        <v/>
      </c>
      <c r="U477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477" s="43">
        <f>IFERROR(--(tblHistory[[#This Row],[Score]]&gt;=50),0)</f>
        <v/>
      </c>
      <c r="W477" s="43">
        <f>IFERROR(--AND(tblHistory[[#This Row],[Score]]&gt;=60,tblHistory[[#This Row],[BIZD S]]&gt;=0.8,tblHistory[[#This Row],[BKLN S]]&gt;=0.5),0)</f>
        <v/>
      </c>
      <c r="X477" s="43">
        <f>IFERROR(--AND(tblHistory[[#This Row],[Score]]&gt;=70,tblHistory[[#This Row],[SOX S]]&gt;=0.83,tblHistory[[#This Row],[AIQ S]]&gt;=0.8),0)</f>
        <v/>
      </c>
      <c r="Y477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477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477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477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477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478">
      <c r="A478" s="39" t="n">
        <v>45646</v>
      </c>
      <c r="B478" s="40" t="n">
        <v>19989.72</v>
      </c>
      <c r="C478" s="40" t="n">
        <v>7749.8</v>
      </c>
      <c r="D478" s="40" t="n">
        <v>36.89</v>
      </c>
      <c r="E478" s="40" t="n">
        <v>171.14</v>
      </c>
      <c r="F478" s="40" t="n"/>
      <c r="G478" s="40" t="n">
        <v>16.49</v>
      </c>
      <c r="H478" s="40" t="n">
        <v>20.93</v>
      </c>
      <c r="I478" s="41" t="n">
        <v>286</v>
      </c>
      <c r="J478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478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478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478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478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478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478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478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478" s="43">
        <f>(Dashboard!$C$13*tblHistory[[#This Row],[NDX S]]+Dashboard!$C$14*tblHistory[[#This Row],[SOX S]]+Dashboard!$C$15*tblHistory[[#This Row],[AIQ S]])/SUM(Dashboard!$C$13:$C$15)*100</f>
        <v/>
      </c>
      <c r="S478" s="43">
        <f>(Dashboard!$C$16*tblHistory[[#This Row],[ORCL S]]+Dashboard!$C$17*tblHistory[[#This Row],[CRWV S]])/SUM(Dashboard!$C$16:$C$17)*100</f>
        <v/>
      </c>
      <c r="T478" s="43">
        <f>(Dashboard!$C$18*tblHistory[[#This Row],[BIZD S]]+Dashboard!$C$19*tblHistory[[#This Row],[BKLN S]]+Dashboard!$C$20*tblHistory[[#This Row],[HY S]])/SUM(Dashboard!$C$18:$C$20)*100</f>
        <v/>
      </c>
      <c r="U478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478" s="43">
        <f>IFERROR(--(tblHistory[[#This Row],[Score]]&gt;=50),0)</f>
        <v/>
      </c>
      <c r="W478" s="43">
        <f>IFERROR(--AND(tblHistory[[#This Row],[Score]]&gt;=60,tblHistory[[#This Row],[BIZD S]]&gt;=0.8,tblHistory[[#This Row],[BKLN S]]&gt;=0.5),0)</f>
        <v/>
      </c>
      <c r="X478" s="43">
        <f>IFERROR(--AND(tblHistory[[#This Row],[Score]]&gt;=70,tblHistory[[#This Row],[SOX S]]&gt;=0.83,tblHistory[[#This Row],[AIQ S]]&gt;=0.8),0)</f>
        <v/>
      </c>
      <c r="Y478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478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478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478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478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479">
      <c r="A479" s="39" t="n">
        <v>45645</v>
      </c>
      <c r="B479" s="40" t="n">
        <v>20003.19</v>
      </c>
      <c r="C479" s="40" t="n">
        <v>7750.95</v>
      </c>
      <c r="D479" s="40" t="n">
        <v>37.17</v>
      </c>
      <c r="E479" s="40" t="n">
        <v>177.69</v>
      </c>
      <c r="F479" s="40" t="n"/>
      <c r="G479" s="40" t="n">
        <v>16.53</v>
      </c>
      <c r="H479" s="40" t="n">
        <v>21.03</v>
      </c>
      <c r="I479" s="41" t="n">
        <v>290</v>
      </c>
      <c r="J479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479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479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479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479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479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479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479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479" s="43">
        <f>(Dashboard!$C$13*tblHistory[[#This Row],[NDX S]]+Dashboard!$C$14*tblHistory[[#This Row],[SOX S]]+Dashboard!$C$15*tblHistory[[#This Row],[AIQ S]])/SUM(Dashboard!$C$13:$C$15)*100</f>
        <v/>
      </c>
      <c r="S479" s="43">
        <f>(Dashboard!$C$16*tblHistory[[#This Row],[ORCL S]]+Dashboard!$C$17*tblHistory[[#This Row],[CRWV S]])/SUM(Dashboard!$C$16:$C$17)*100</f>
        <v/>
      </c>
      <c r="T479" s="43">
        <f>(Dashboard!$C$18*tblHistory[[#This Row],[BIZD S]]+Dashboard!$C$19*tblHistory[[#This Row],[BKLN S]]+Dashboard!$C$20*tblHistory[[#This Row],[HY S]])/SUM(Dashboard!$C$18:$C$20)*100</f>
        <v/>
      </c>
      <c r="U479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479" s="43">
        <f>IFERROR(--(tblHistory[[#This Row],[Score]]&gt;=50),0)</f>
        <v/>
      </c>
      <c r="W479" s="43">
        <f>IFERROR(--AND(tblHistory[[#This Row],[Score]]&gt;=60,tblHistory[[#This Row],[BIZD S]]&gt;=0.8,tblHistory[[#This Row],[BKLN S]]&gt;=0.5),0)</f>
        <v/>
      </c>
      <c r="X479" s="43">
        <f>IFERROR(--AND(tblHistory[[#This Row],[Score]]&gt;=70,tblHistory[[#This Row],[SOX S]]&gt;=0.83,tblHistory[[#This Row],[AIQ S]]&gt;=0.8),0)</f>
        <v/>
      </c>
      <c r="Y479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479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479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479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479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480">
      <c r="A480" s="39" t="n">
        <v>45644</v>
      </c>
      <c r="B480" s="40" t="n">
        <v>20068.49</v>
      </c>
      <c r="C480" s="40" t="n">
        <v>7841.38</v>
      </c>
      <c r="D480" s="40" t="n">
        <v>37.77</v>
      </c>
      <c r="E480" s="40" t="n">
        <v>179.14</v>
      </c>
      <c r="F480" s="40" t="n"/>
      <c r="G480" s="40" t="n">
        <v>16.51</v>
      </c>
      <c r="H480" s="40" t="n">
        <v>21.02</v>
      </c>
      <c r="I480" s="41" t="n">
        <v>288</v>
      </c>
      <c r="J480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480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480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480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480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480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480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480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480" s="43">
        <f>(Dashboard!$C$13*tblHistory[[#This Row],[NDX S]]+Dashboard!$C$14*tblHistory[[#This Row],[SOX S]]+Dashboard!$C$15*tblHistory[[#This Row],[AIQ S]])/SUM(Dashboard!$C$13:$C$15)*100</f>
        <v/>
      </c>
      <c r="S480" s="43">
        <f>(Dashboard!$C$16*tblHistory[[#This Row],[ORCL S]]+Dashboard!$C$17*tblHistory[[#This Row],[CRWV S]])/SUM(Dashboard!$C$16:$C$17)*100</f>
        <v/>
      </c>
      <c r="T480" s="43">
        <f>(Dashboard!$C$18*tblHistory[[#This Row],[BIZD S]]+Dashboard!$C$19*tblHistory[[#This Row],[BKLN S]]+Dashboard!$C$20*tblHistory[[#This Row],[HY S]])/SUM(Dashboard!$C$18:$C$20)*100</f>
        <v/>
      </c>
      <c r="U480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480" s="43">
        <f>IFERROR(--(tblHistory[[#This Row],[Score]]&gt;=50),0)</f>
        <v/>
      </c>
      <c r="W480" s="43">
        <f>IFERROR(--AND(tblHistory[[#This Row],[Score]]&gt;=60,tblHistory[[#This Row],[BIZD S]]&gt;=0.8,tblHistory[[#This Row],[BKLN S]]&gt;=0.5),0)</f>
        <v/>
      </c>
      <c r="X480" s="43">
        <f>IFERROR(--AND(tblHistory[[#This Row],[Score]]&gt;=70,tblHistory[[#This Row],[SOX S]]&gt;=0.83,tblHistory[[#This Row],[AIQ S]]&gt;=0.8),0)</f>
        <v/>
      </c>
      <c r="Y480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480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480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480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480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481">
      <c r="A481" s="39" t="n">
        <v>45643</v>
      </c>
      <c r="B481" s="40" t="n">
        <v>20547.17</v>
      </c>
      <c r="C481" s="40" t="n">
        <v>7719.75</v>
      </c>
      <c r="D481" s="40" t="n">
        <v>37.16</v>
      </c>
      <c r="E481" s="40" t="n">
        <v>177.09</v>
      </c>
      <c r="F481" s="40" t="n"/>
      <c r="G481" s="40" t="n">
        <v>16.55</v>
      </c>
      <c r="H481" s="40" t="n">
        <v>21.04</v>
      </c>
      <c r="I481" s="41" t="n">
        <v>298</v>
      </c>
      <c r="J481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481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481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481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481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481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481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481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481" s="43">
        <f>(Dashboard!$C$13*tblHistory[[#This Row],[NDX S]]+Dashboard!$C$14*tblHistory[[#This Row],[SOX S]]+Dashboard!$C$15*tblHistory[[#This Row],[AIQ S]])/SUM(Dashboard!$C$13:$C$15)*100</f>
        <v/>
      </c>
      <c r="S481" s="43">
        <f>(Dashboard!$C$16*tblHistory[[#This Row],[ORCL S]]+Dashboard!$C$17*tblHistory[[#This Row],[CRWV S]])/SUM(Dashboard!$C$16:$C$17)*100</f>
        <v/>
      </c>
      <c r="T481" s="43">
        <f>(Dashboard!$C$18*tblHistory[[#This Row],[BIZD S]]+Dashboard!$C$19*tblHistory[[#This Row],[BKLN S]]+Dashboard!$C$20*tblHistory[[#This Row],[HY S]])/SUM(Dashboard!$C$18:$C$20)*100</f>
        <v/>
      </c>
      <c r="U481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481" s="43">
        <f>IFERROR(--(tblHistory[[#This Row],[Score]]&gt;=50),0)</f>
        <v/>
      </c>
      <c r="W481" s="43">
        <f>IFERROR(--AND(tblHistory[[#This Row],[Score]]&gt;=60,tblHistory[[#This Row],[BIZD S]]&gt;=0.8,tblHistory[[#This Row],[BKLN S]]&gt;=0.5),0)</f>
        <v/>
      </c>
      <c r="X481" s="43">
        <f>IFERROR(--AND(tblHistory[[#This Row],[Score]]&gt;=70,tblHistory[[#This Row],[SOX S]]&gt;=0.83,tblHistory[[#This Row],[AIQ S]]&gt;=0.8),0)</f>
        <v/>
      </c>
      <c r="Y481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481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481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481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481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482">
      <c r="A482" s="39" t="n">
        <v>45642</v>
      </c>
      <c r="B482" s="40" t="n">
        <v>20215.47</v>
      </c>
      <c r="C482" s="40" t="n">
        <v>7713.86</v>
      </c>
      <c r="D482" s="40" t="n">
        <v>36.75</v>
      </c>
      <c r="E482" s="40" t="n">
        <v>171.24</v>
      </c>
      <c r="F482" s="40" t="n"/>
      <c r="G482" s="40" t="n">
        <v>16.39</v>
      </c>
      <c r="H482" s="40" t="n">
        <v>21.08</v>
      </c>
      <c r="I482" s="41" t="n">
        <v>302</v>
      </c>
      <c r="J482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482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482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482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482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482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482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482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482" s="43">
        <f>(Dashboard!$C$13*tblHistory[[#This Row],[NDX S]]+Dashboard!$C$14*tblHistory[[#This Row],[SOX S]]+Dashboard!$C$15*tblHistory[[#This Row],[AIQ S]])/SUM(Dashboard!$C$13:$C$15)*100</f>
        <v/>
      </c>
      <c r="S482" s="43">
        <f>(Dashboard!$C$16*tblHistory[[#This Row],[ORCL S]]+Dashboard!$C$17*tblHistory[[#This Row],[CRWV S]])/SUM(Dashboard!$C$16:$C$17)*100</f>
        <v/>
      </c>
      <c r="T482" s="43">
        <f>(Dashboard!$C$18*tblHistory[[#This Row],[BIZD S]]+Dashboard!$C$19*tblHistory[[#This Row],[BKLN S]]+Dashboard!$C$20*tblHistory[[#This Row],[HY S]])/SUM(Dashboard!$C$18:$C$20)*100</f>
        <v/>
      </c>
      <c r="U482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482" s="43">
        <f>IFERROR(--(tblHistory[[#This Row],[Score]]&gt;=50),0)</f>
        <v/>
      </c>
      <c r="W482" s="43">
        <f>IFERROR(--AND(tblHistory[[#This Row],[Score]]&gt;=60,tblHistory[[#This Row],[BIZD S]]&gt;=0.8,tblHistory[[#This Row],[BKLN S]]&gt;=0.5),0)</f>
        <v/>
      </c>
      <c r="X482" s="43">
        <f>IFERROR(--AND(tblHistory[[#This Row],[Score]]&gt;=70,tblHistory[[#This Row],[SOX S]]&gt;=0.83,tblHistory[[#This Row],[AIQ S]]&gt;=0.8),0)</f>
        <v/>
      </c>
      <c r="Y482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482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482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482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482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483">
      <c r="A483" s="39" t="n">
        <v>45639</v>
      </c>
      <c r="B483" s="40" t="n">
        <v>20191.6</v>
      </c>
      <c r="C483" s="40" t="n">
        <v>7381.16</v>
      </c>
      <c r="D483" s="40" t="n">
        <v>36.17</v>
      </c>
      <c r="E483" s="40" t="n">
        <v>173.31</v>
      </c>
      <c r="F483" s="40" t="n"/>
      <c r="G483" s="40" t="n">
        <v>16.62</v>
      </c>
      <c r="H483" s="40" t="n">
        <v>21.06</v>
      </c>
      <c r="I483" s="41" t="n">
        <v>293</v>
      </c>
      <c r="J483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483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483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483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483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483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483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483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483" s="43">
        <f>(Dashboard!$C$13*tblHistory[[#This Row],[NDX S]]+Dashboard!$C$14*tblHistory[[#This Row],[SOX S]]+Dashboard!$C$15*tblHistory[[#This Row],[AIQ S]])/SUM(Dashboard!$C$13:$C$15)*100</f>
        <v/>
      </c>
      <c r="S483" s="43">
        <f>(Dashboard!$C$16*tblHistory[[#This Row],[ORCL S]]+Dashboard!$C$17*tblHistory[[#This Row],[CRWV S]])/SUM(Dashboard!$C$16:$C$17)*100</f>
        <v/>
      </c>
      <c r="T483" s="43">
        <f>(Dashboard!$C$18*tblHistory[[#This Row],[BIZD S]]+Dashboard!$C$19*tblHistory[[#This Row],[BKLN S]]+Dashboard!$C$20*tblHistory[[#This Row],[HY S]])/SUM(Dashboard!$C$18:$C$20)*100</f>
        <v/>
      </c>
      <c r="U483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483" s="43">
        <f>IFERROR(--(tblHistory[[#This Row],[Score]]&gt;=50),0)</f>
        <v/>
      </c>
      <c r="W483" s="43">
        <f>IFERROR(--AND(tblHistory[[#This Row],[Score]]&gt;=60,tblHistory[[#This Row],[BIZD S]]&gt;=0.8,tblHistory[[#This Row],[BKLN S]]&gt;=0.5),0)</f>
        <v/>
      </c>
      <c r="X483" s="43">
        <f>IFERROR(--AND(tblHistory[[#This Row],[Score]]&gt;=70,tblHistory[[#This Row],[SOX S]]&gt;=0.83,tblHistory[[#This Row],[AIQ S]]&gt;=0.8),0)</f>
        <v/>
      </c>
      <c r="Y483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483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483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483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483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484">
      <c r="A484" s="39" t="n">
        <v>45638</v>
      </c>
      <c r="B484" s="40" t="n">
        <v>20543.48</v>
      </c>
      <c r="C484" s="40" t="n">
        <v>7449.2</v>
      </c>
      <c r="D484" s="40" t="n">
        <v>35.88</v>
      </c>
      <c r="E484" s="40" t="n">
        <v>173.4</v>
      </c>
      <c r="F484" s="40" t="n"/>
      <c r="G484" s="40" t="n">
        <v>16.41</v>
      </c>
      <c r="H484" s="40" t="n">
        <v>21.04</v>
      </c>
      <c r="I484" s="41" t="n">
        <v>295</v>
      </c>
      <c r="J484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484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484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484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484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484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484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484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484" s="43">
        <f>(Dashboard!$C$13*tblHistory[[#This Row],[NDX S]]+Dashboard!$C$14*tblHistory[[#This Row],[SOX S]]+Dashboard!$C$15*tblHistory[[#This Row],[AIQ S]])/SUM(Dashboard!$C$13:$C$15)*100</f>
        <v/>
      </c>
      <c r="S484" s="43">
        <f>(Dashboard!$C$16*tblHistory[[#This Row],[ORCL S]]+Dashboard!$C$17*tblHistory[[#This Row],[CRWV S]])/SUM(Dashboard!$C$16:$C$17)*100</f>
        <v/>
      </c>
      <c r="T484" s="43">
        <f>(Dashboard!$C$18*tblHistory[[#This Row],[BIZD S]]+Dashboard!$C$19*tblHistory[[#This Row],[BKLN S]]+Dashboard!$C$20*tblHistory[[#This Row],[HY S]])/SUM(Dashboard!$C$18:$C$20)*100</f>
        <v/>
      </c>
      <c r="U484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484" s="43">
        <f>IFERROR(--(tblHistory[[#This Row],[Score]]&gt;=50),0)</f>
        <v/>
      </c>
      <c r="W484" s="43">
        <f>IFERROR(--AND(tblHistory[[#This Row],[Score]]&gt;=60,tblHistory[[#This Row],[BIZD S]]&gt;=0.8,tblHistory[[#This Row],[BKLN S]]&gt;=0.5),0)</f>
        <v/>
      </c>
      <c r="X484" s="43">
        <f>IFERROR(--AND(tblHistory[[#This Row],[Score]]&gt;=70,tblHistory[[#This Row],[SOX S]]&gt;=0.83,tblHistory[[#This Row],[AIQ S]]&gt;=0.8),0)</f>
        <v/>
      </c>
      <c r="Y484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484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484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484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484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485">
      <c r="A485" s="39" t="n">
        <v>45637</v>
      </c>
      <c r="B485" s="40" t="n">
        <v>20426.34</v>
      </c>
      <c r="C485" s="40" t="n">
        <v>7285.65</v>
      </c>
      <c r="D485" s="40" t="n">
        <v>35.85</v>
      </c>
      <c r="E485" s="40" t="n">
        <v>175.81</v>
      </c>
      <c r="F485" s="40" t="n"/>
      <c r="G485" s="40" t="n">
        <v>16.45</v>
      </c>
      <c r="H485" s="40" t="n">
        <v>21.01</v>
      </c>
      <c r="I485" s="41" t="n">
        <v>300</v>
      </c>
      <c r="J485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485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485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485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485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485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485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485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485" s="43">
        <f>(Dashboard!$C$13*tblHistory[[#This Row],[NDX S]]+Dashboard!$C$14*tblHistory[[#This Row],[SOX S]]+Dashboard!$C$15*tblHistory[[#This Row],[AIQ S]])/SUM(Dashboard!$C$13:$C$15)*100</f>
        <v/>
      </c>
      <c r="S485" s="43">
        <f>(Dashboard!$C$16*tblHistory[[#This Row],[ORCL S]]+Dashboard!$C$17*tblHistory[[#This Row],[CRWV S]])/SUM(Dashboard!$C$16:$C$17)*100</f>
        <v/>
      </c>
      <c r="T485" s="43">
        <f>(Dashboard!$C$18*tblHistory[[#This Row],[BIZD S]]+Dashboard!$C$19*tblHistory[[#This Row],[BKLN S]]+Dashboard!$C$20*tblHistory[[#This Row],[HY S]])/SUM(Dashboard!$C$18:$C$20)*100</f>
        <v/>
      </c>
      <c r="U485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485" s="43">
        <f>IFERROR(--(tblHistory[[#This Row],[Score]]&gt;=50),0)</f>
        <v/>
      </c>
      <c r="W485" s="43">
        <f>IFERROR(--AND(tblHistory[[#This Row],[Score]]&gt;=60,tblHistory[[#This Row],[BIZD S]]&gt;=0.8,tblHistory[[#This Row],[BKLN S]]&gt;=0.5),0)</f>
        <v/>
      </c>
      <c r="X485" s="43">
        <f>IFERROR(--AND(tblHistory[[#This Row],[Score]]&gt;=70,tblHistory[[#This Row],[SOX S]]&gt;=0.83,tblHistory[[#This Row],[AIQ S]]&gt;=0.8),0)</f>
        <v/>
      </c>
      <c r="Y485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485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485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485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485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486">
      <c r="A486" s="39" t="n">
        <v>45636</v>
      </c>
      <c r="B486" s="40" t="n">
        <v>20354.22</v>
      </c>
      <c r="C486" s="40" t="n">
        <v>7072.91</v>
      </c>
      <c r="D486" s="40" t="n">
        <v>35.02</v>
      </c>
      <c r="E486" s="40" t="n">
        <v>176.17</v>
      </c>
      <c r="F486" s="40" t="n"/>
      <c r="G486" s="40" t="n">
        <v>16.21</v>
      </c>
      <c r="H486" s="40" t="n">
        <v>20.98</v>
      </c>
      <c r="I486" s="41" t="n">
        <v>304</v>
      </c>
      <c r="J486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486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486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486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486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486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486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486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486" s="43">
        <f>(Dashboard!$C$13*tblHistory[[#This Row],[NDX S]]+Dashboard!$C$14*tblHistory[[#This Row],[SOX S]]+Dashboard!$C$15*tblHistory[[#This Row],[AIQ S]])/SUM(Dashboard!$C$13:$C$15)*100</f>
        <v/>
      </c>
      <c r="S486" s="43">
        <f>(Dashboard!$C$16*tblHistory[[#This Row],[ORCL S]]+Dashboard!$C$17*tblHistory[[#This Row],[CRWV S]])/SUM(Dashboard!$C$16:$C$17)*100</f>
        <v/>
      </c>
      <c r="T486" s="43">
        <f>(Dashboard!$C$18*tblHistory[[#This Row],[BIZD S]]+Dashboard!$C$19*tblHistory[[#This Row],[BKLN S]]+Dashboard!$C$20*tblHistory[[#This Row],[HY S]])/SUM(Dashboard!$C$18:$C$20)*100</f>
        <v/>
      </c>
      <c r="U486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486" s="43">
        <f>IFERROR(--(tblHistory[[#This Row],[Score]]&gt;=50),0)</f>
        <v/>
      </c>
      <c r="W486" s="43">
        <f>IFERROR(--AND(tblHistory[[#This Row],[Score]]&gt;=60,tblHistory[[#This Row],[BIZD S]]&gt;=0.8,tblHistory[[#This Row],[BKLN S]]&gt;=0.5),0)</f>
        <v/>
      </c>
      <c r="X486" s="43">
        <f>IFERROR(--AND(tblHistory[[#This Row],[Score]]&gt;=70,tblHistory[[#This Row],[SOX S]]&gt;=0.83,tblHistory[[#This Row],[AIQ S]]&gt;=0.8),0)</f>
        <v/>
      </c>
      <c r="Y486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486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486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486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486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487">
      <c r="A487" s="39" t="n">
        <v>45635</v>
      </c>
      <c r="B487" s="40" t="n">
        <v>20540.19</v>
      </c>
      <c r="C487" s="40" t="n">
        <v>7026.37</v>
      </c>
      <c r="D487" s="40" t="n">
        <v>34.29</v>
      </c>
      <c r="E487" s="40" t="n">
        <v>175.55</v>
      </c>
      <c r="F487" s="40" t="n"/>
      <c r="G487" s="40" t="n">
        <v>16.09</v>
      </c>
      <c r="H487" s="40" t="n">
        <v>20.97</v>
      </c>
      <c r="I487" s="41" t="n">
        <v>302</v>
      </c>
      <c r="J487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487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487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487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487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487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487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487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487" s="43">
        <f>(Dashboard!$C$13*tblHistory[[#This Row],[NDX S]]+Dashboard!$C$14*tblHistory[[#This Row],[SOX S]]+Dashboard!$C$15*tblHistory[[#This Row],[AIQ S]])/SUM(Dashboard!$C$13:$C$15)*100</f>
        <v/>
      </c>
      <c r="S487" s="43">
        <f>(Dashboard!$C$16*tblHistory[[#This Row],[ORCL S]]+Dashboard!$C$17*tblHistory[[#This Row],[CRWV S]])/SUM(Dashboard!$C$16:$C$17)*100</f>
        <v/>
      </c>
      <c r="T487" s="43">
        <f>(Dashboard!$C$18*tblHistory[[#This Row],[BIZD S]]+Dashboard!$C$19*tblHistory[[#This Row],[BKLN S]]+Dashboard!$C$20*tblHistory[[#This Row],[HY S]])/SUM(Dashboard!$C$18:$C$20)*100</f>
        <v/>
      </c>
      <c r="U487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487" s="43">
        <f>IFERROR(--(tblHistory[[#This Row],[Score]]&gt;=50),0)</f>
        <v/>
      </c>
      <c r="W487" s="43">
        <f>IFERROR(--AND(tblHistory[[#This Row],[Score]]&gt;=60,tblHistory[[#This Row],[BIZD S]]&gt;=0.8,tblHistory[[#This Row],[BKLN S]]&gt;=0.5),0)</f>
        <v/>
      </c>
      <c r="X487" s="43">
        <f>IFERROR(--AND(tblHistory[[#This Row],[Score]]&gt;=70,tblHistory[[#This Row],[SOX S]]&gt;=0.83,tblHistory[[#This Row],[AIQ S]]&gt;=0.8),0)</f>
        <v/>
      </c>
      <c r="Y487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487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487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487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487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488">
      <c r="A488" s="39" t="n">
        <v>45632</v>
      </c>
      <c r="B488" s="40" t="n">
        <v>20229.31</v>
      </c>
      <c r="C488" s="40" t="n">
        <v>7028.06</v>
      </c>
      <c r="D488" s="40" t="n">
        <v>34.63</v>
      </c>
      <c r="E488" s="40" t="n">
        <v>174.95</v>
      </c>
      <c r="F488" s="40" t="n"/>
      <c r="G488" s="40" t="n">
        <v>16.15</v>
      </c>
      <c r="H488" s="40" t="n">
        <v>20.98</v>
      </c>
      <c r="I488" s="41" t="n">
        <v>302</v>
      </c>
      <c r="J488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488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488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488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488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488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488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488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488" s="43">
        <f>(Dashboard!$C$13*tblHistory[[#This Row],[NDX S]]+Dashboard!$C$14*tblHistory[[#This Row],[SOX S]]+Dashboard!$C$15*tblHistory[[#This Row],[AIQ S]])/SUM(Dashboard!$C$13:$C$15)*100</f>
        <v/>
      </c>
      <c r="S488" s="43">
        <f>(Dashboard!$C$16*tblHistory[[#This Row],[ORCL S]]+Dashboard!$C$17*tblHistory[[#This Row],[CRWV S]])/SUM(Dashboard!$C$16:$C$17)*100</f>
        <v/>
      </c>
      <c r="T488" s="43">
        <f>(Dashboard!$C$18*tblHistory[[#This Row],[BIZD S]]+Dashboard!$C$19*tblHistory[[#This Row],[BKLN S]]+Dashboard!$C$20*tblHistory[[#This Row],[HY S]])/SUM(Dashboard!$C$18:$C$20)*100</f>
        <v/>
      </c>
      <c r="U488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488" s="43">
        <f>IFERROR(--(tblHistory[[#This Row],[Score]]&gt;=50),0)</f>
        <v/>
      </c>
      <c r="W488" s="43">
        <f>IFERROR(--AND(tblHistory[[#This Row],[Score]]&gt;=60,tblHistory[[#This Row],[BIZD S]]&gt;=0.8,tblHistory[[#This Row],[BKLN S]]&gt;=0.5),0)</f>
        <v/>
      </c>
      <c r="X488" s="43">
        <f>IFERROR(--AND(tblHistory[[#This Row],[Score]]&gt;=70,tblHistory[[#This Row],[SOX S]]&gt;=0.83,tblHistory[[#This Row],[AIQ S]]&gt;=0.8),0)</f>
        <v/>
      </c>
      <c r="Y488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488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488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488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488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489">
      <c r="A489" s="39" t="n">
        <v>45631</v>
      </c>
      <c r="B489" s="40" t="n">
        <v>20343.87</v>
      </c>
      <c r="C489" s="40" t="n">
        <v>6915.69</v>
      </c>
      <c r="D489" s="40" t="n">
        <v>34.97</v>
      </c>
      <c r="E489" s="40" t="n">
        <v>171.14</v>
      </c>
      <c r="F489" s="40" t="n"/>
      <c r="G489" s="40" t="n">
        <v>16.1</v>
      </c>
      <c r="H489" s="40" t="n">
        <v>20.97</v>
      </c>
      <c r="I489" s="41" t="n">
        <v>305</v>
      </c>
      <c r="J489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489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489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489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489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489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489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489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489" s="43">
        <f>(Dashboard!$C$13*tblHistory[[#This Row],[NDX S]]+Dashboard!$C$14*tblHistory[[#This Row],[SOX S]]+Dashboard!$C$15*tblHistory[[#This Row],[AIQ S]])/SUM(Dashboard!$C$13:$C$15)*100</f>
        <v/>
      </c>
      <c r="S489" s="43">
        <f>(Dashboard!$C$16*tblHistory[[#This Row],[ORCL S]]+Dashboard!$C$17*tblHistory[[#This Row],[CRWV S]])/SUM(Dashboard!$C$16:$C$17)*100</f>
        <v/>
      </c>
      <c r="T489" s="43">
        <f>(Dashboard!$C$18*tblHistory[[#This Row],[BIZD S]]+Dashboard!$C$19*tblHistory[[#This Row],[BKLN S]]+Dashboard!$C$20*tblHistory[[#This Row],[HY S]])/SUM(Dashboard!$C$18:$C$20)*100</f>
        <v/>
      </c>
      <c r="U489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489" s="43">
        <f>IFERROR(--(tblHistory[[#This Row],[Score]]&gt;=50),0)</f>
        <v/>
      </c>
      <c r="W489" s="43">
        <f>IFERROR(--AND(tblHistory[[#This Row],[Score]]&gt;=60,tblHistory[[#This Row],[BIZD S]]&gt;=0.8,tblHistory[[#This Row],[BKLN S]]&gt;=0.5),0)</f>
        <v/>
      </c>
      <c r="X489" s="43">
        <f>IFERROR(--AND(tblHistory[[#This Row],[Score]]&gt;=70,tblHistory[[#This Row],[SOX S]]&gt;=0.83,tblHistory[[#This Row],[AIQ S]]&gt;=0.8),0)</f>
        <v/>
      </c>
      <c r="Y489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489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489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489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489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490">
      <c r="A490" s="39" t="n">
        <v>45630</v>
      </c>
      <c r="B490" s="40" t="n">
        <v>20566.48</v>
      </c>
      <c r="C490" s="40" t="n">
        <v>7000.37</v>
      </c>
      <c r="D490" s="40" t="n">
        <v>35.12</v>
      </c>
      <c r="E490" s="40" t="n">
        <v>165.23</v>
      </c>
      <c r="F490" s="40" t="n"/>
      <c r="G490" s="40" t="n">
        <v>16.08</v>
      </c>
      <c r="H490" s="40" t="n">
        <v>20.93</v>
      </c>
      <c r="I490" s="41" t="n">
        <v>312</v>
      </c>
      <c r="J490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490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490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490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490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490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490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490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490" s="43">
        <f>(Dashboard!$C$13*tblHistory[[#This Row],[NDX S]]+Dashboard!$C$14*tblHistory[[#This Row],[SOX S]]+Dashboard!$C$15*tblHistory[[#This Row],[AIQ S]])/SUM(Dashboard!$C$13:$C$15)*100</f>
        <v/>
      </c>
      <c r="S490" s="43">
        <f>(Dashboard!$C$16*tblHistory[[#This Row],[ORCL S]]+Dashboard!$C$17*tblHistory[[#This Row],[CRWV S]])/SUM(Dashboard!$C$16:$C$17)*100</f>
        <v/>
      </c>
      <c r="T490" s="43">
        <f>(Dashboard!$C$18*tblHistory[[#This Row],[BIZD S]]+Dashboard!$C$19*tblHistory[[#This Row],[BKLN S]]+Dashboard!$C$20*tblHistory[[#This Row],[HY S]])/SUM(Dashboard!$C$18:$C$20)*100</f>
        <v/>
      </c>
      <c r="U490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490" s="43">
        <f>IFERROR(--(tblHistory[[#This Row],[Score]]&gt;=50),0)</f>
        <v/>
      </c>
      <c r="W490" s="43">
        <f>IFERROR(--AND(tblHistory[[#This Row],[Score]]&gt;=60,tblHistory[[#This Row],[BIZD S]]&gt;=0.8,tblHistory[[#This Row],[BKLN S]]&gt;=0.5),0)</f>
        <v/>
      </c>
      <c r="X490" s="43">
        <f>IFERROR(--AND(tblHistory[[#This Row],[Score]]&gt;=70,tblHistory[[#This Row],[SOX S]]&gt;=0.83,tblHistory[[#This Row],[AIQ S]]&gt;=0.8),0)</f>
        <v/>
      </c>
      <c r="Y490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490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490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490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490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491">
      <c r="A491" s="39" t="n">
        <v>45629</v>
      </c>
      <c r="B491" s="40" t="n">
        <v>20664.78</v>
      </c>
      <c r="C491" s="40" t="n">
        <v>6996.82</v>
      </c>
      <c r="D491" s="40" t="n">
        <v>35.36</v>
      </c>
      <c r="E491" s="40" t="n">
        <v>159.25</v>
      </c>
      <c r="F491" s="40" t="n"/>
      <c r="G491" s="40" t="n">
        <v>16.12</v>
      </c>
      <c r="H491" s="40" t="n">
        <v>20.98</v>
      </c>
      <c r="I491" s="41" t="n">
        <v>302</v>
      </c>
      <c r="J491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491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491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491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491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491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491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491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491" s="43">
        <f>(Dashboard!$C$13*tblHistory[[#This Row],[NDX S]]+Dashboard!$C$14*tblHistory[[#This Row],[SOX S]]+Dashboard!$C$15*tblHistory[[#This Row],[AIQ S]])/SUM(Dashboard!$C$13:$C$15)*100</f>
        <v/>
      </c>
      <c r="S491" s="43">
        <f>(Dashboard!$C$16*tblHistory[[#This Row],[ORCL S]]+Dashboard!$C$17*tblHistory[[#This Row],[CRWV S]])/SUM(Dashboard!$C$16:$C$17)*100</f>
        <v/>
      </c>
      <c r="T491" s="43">
        <f>(Dashboard!$C$18*tblHistory[[#This Row],[BIZD S]]+Dashboard!$C$19*tblHistory[[#This Row],[BKLN S]]+Dashboard!$C$20*tblHistory[[#This Row],[HY S]])/SUM(Dashboard!$C$18:$C$20)*100</f>
        <v/>
      </c>
      <c r="U491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491" s="43">
        <f>IFERROR(--(tblHistory[[#This Row],[Score]]&gt;=50),0)</f>
        <v/>
      </c>
      <c r="W491" s="43">
        <f>IFERROR(--AND(tblHistory[[#This Row],[Score]]&gt;=60,tblHistory[[#This Row],[BIZD S]]&gt;=0.8,tblHistory[[#This Row],[BKLN S]]&gt;=0.5),0)</f>
        <v/>
      </c>
      <c r="X491" s="43">
        <f>IFERROR(--AND(tblHistory[[#This Row],[Score]]&gt;=70,tblHistory[[#This Row],[SOX S]]&gt;=0.83,tblHistory[[#This Row],[AIQ S]]&gt;=0.8),0)</f>
        <v/>
      </c>
      <c r="Y491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491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491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491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491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492">
      <c r="A492" s="39" t="n">
        <v>45628</v>
      </c>
      <c r="B492" s="40" t="n">
        <v>20590.91</v>
      </c>
      <c r="C492" s="40" t="n">
        <v>6816.96</v>
      </c>
      <c r="D492" s="40" t="n">
        <v>34.74</v>
      </c>
      <c r="E492" s="40" t="n">
        <v>153.26</v>
      </c>
      <c r="F492" s="40" t="n"/>
      <c r="G492" s="40" t="n">
        <v>16.22</v>
      </c>
      <c r="H492" s="40" t="n">
        <v>20.98</v>
      </c>
      <c r="I492" s="41" t="n">
        <v>303</v>
      </c>
      <c r="J492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492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492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492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492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492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492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492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492" s="43">
        <f>(Dashboard!$C$13*tblHistory[[#This Row],[NDX S]]+Dashboard!$C$14*tblHistory[[#This Row],[SOX S]]+Dashboard!$C$15*tblHistory[[#This Row],[AIQ S]])/SUM(Dashboard!$C$13:$C$15)*100</f>
        <v/>
      </c>
      <c r="S492" s="43">
        <f>(Dashboard!$C$16*tblHistory[[#This Row],[ORCL S]]+Dashboard!$C$17*tblHistory[[#This Row],[CRWV S]])/SUM(Dashboard!$C$16:$C$17)*100</f>
        <v/>
      </c>
      <c r="T492" s="43">
        <f>(Dashboard!$C$18*tblHistory[[#This Row],[BIZD S]]+Dashboard!$C$19*tblHistory[[#This Row],[BKLN S]]+Dashboard!$C$20*tblHistory[[#This Row],[HY S]])/SUM(Dashboard!$C$18:$C$20)*100</f>
        <v/>
      </c>
      <c r="U492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492" s="43">
        <f>IFERROR(--(tblHistory[[#This Row],[Score]]&gt;=50),0)</f>
        <v/>
      </c>
      <c r="W492" s="43">
        <f>IFERROR(--AND(tblHistory[[#This Row],[Score]]&gt;=60,tblHistory[[#This Row],[BIZD S]]&gt;=0.8,tblHistory[[#This Row],[BKLN S]]&gt;=0.5),0)</f>
        <v/>
      </c>
      <c r="X492" s="43">
        <f>IFERROR(--AND(tblHistory[[#This Row],[Score]]&gt;=70,tblHistory[[#This Row],[SOX S]]&gt;=0.83,tblHistory[[#This Row],[AIQ S]]&gt;=0.8),0)</f>
        <v/>
      </c>
      <c r="Y492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492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492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492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492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493">
      <c r="A493" s="39" t="n">
        <v>45625</v>
      </c>
      <c r="B493" s="40" t="n">
        <v>20423.06</v>
      </c>
      <c r="C493" s="40" t="n">
        <v>6719.8</v>
      </c>
      <c r="D493" s="40" t="n">
        <v>34.63</v>
      </c>
      <c r="E493" s="40" t="n">
        <v>152.99</v>
      </c>
      <c r="F493" s="40" t="n"/>
      <c r="G493" s="40" t="n">
        <v>16.1</v>
      </c>
      <c r="H493" s="40" t="n">
        <v>20.98</v>
      </c>
      <c r="I493" s="41" t="n">
        <v>307</v>
      </c>
      <c r="J493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493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493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493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493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493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493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493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493" s="43">
        <f>(Dashboard!$C$13*tblHistory[[#This Row],[NDX S]]+Dashboard!$C$14*tblHistory[[#This Row],[SOX S]]+Dashboard!$C$15*tblHistory[[#This Row],[AIQ S]])/SUM(Dashboard!$C$13:$C$15)*100</f>
        <v/>
      </c>
      <c r="S493" s="43">
        <f>(Dashboard!$C$16*tblHistory[[#This Row],[ORCL S]]+Dashboard!$C$17*tblHistory[[#This Row],[CRWV S]])/SUM(Dashboard!$C$16:$C$17)*100</f>
        <v/>
      </c>
      <c r="T493" s="43">
        <f>(Dashboard!$C$18*tblHistory[[#This Row],[BIZD S]]+Dashboard!$C$19*tblHistory[[#This Row],[BKLN S]]+Dashboard!$C$20*tblHistory[[#This Row],[HY S]])/SUM(Dashboard!$C$18:$C$20)*100</f>
        <v/>
      </c>
      <c r="U493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493" s="43">
        <f>IFERROR(--(tblHistory[[#This Row],[Score]]&gt;=50),0)</f>
        <v/>
      </c>
      <c r="W493" s="43">
        <f>IFERROR(--AND(tblHistory[[#This Row],[Score]]&gt;=60,tblHistory[[#This Row],[BIZD S]]&gt;=0.8,tblHistory[[#This Row],[BKLN S]]&gt;=0.5),0)</f>
        <v/>
      </c>
      <c r="X493" s="43">
        <f>IFERROR(--AND(tblHistory[[#This Row],[Score]]&gt;=70,tblHistory[[#This Row],[SOX S]]&gt;=0.83,tblHistory[[#This Row],[AIQ S]]&gt;=0.8),0)</f>
        <v/>
      </c>
      <c r="Y493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493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493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493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493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494">
      <c r="A494" s="39" t="n">
        <v>45624</v>
      </c>
      <c r="B494" s="40" t="n">
        <v>20436.89</v>
      </c>
      <c r="C494" s="40" t="n">
        <v>6804.23</v>
      </c>
      <c r="D494" s="40" t="n">
        <v>34.34</v>
      </c>
      <c r="E494" s="40" t="n">
        <v>148.3</v>
      </c>
      <c r="F494" s="40" t="n"/>
      <c r="G494" s="40" t="n">
        <v>16.13</v>
      </c>
      <c r="H494" s="40" t="n">
        <v>21.05</v>
      </c>
      <c r="I494" s="41" t="n">
        <v>301</v>
      </c>
      <c r="J494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494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494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494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494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494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494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494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494" s="43">
        <f>(Dashboard!$C$13*tblHistory[[#This Row],[NDX S]]+Dashboard!$C$14*tblHistory[[#This Row],[SOX S]]+Dashboard!$C$15*tblHistory[[#This Row],[AIQ S]])/SUM(Dashboard!$C$13:$C$15)*100</f>
        <v/>
      </c>
      <c r="S494" s="43">
        <f>(Dashboard!$C$16*tblHistory[[#This Row],[ORCL S]]+Dashboard!$C$17*tblHistory[[#This Row],[CRWV S]])/SUM(Dashboard!$C$16:$C$17)*100</f>
        <v/>
      </c>
      <c r="T494" s="43">
        <f>(Dashboard!$C$18*tblHistory[[#This Row],[BIZD S]]+Dashboard!$C$19*tblHistory[[#This Row],[BKLN S]]+Dashboard!$C$20*tblHistory[[#This Row],[HY S]])/SUM(Dashboard!$C$18:$C$20)*100</f>
        <v/>
      </c>
      <c r="U494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494" s="43">
        <f>IFERROR(--(tblHistory[[#This Row],[Score]]&gt;=50),0)</f>
        <v/>
      </c>
      <c r="W494" s="43">
        <f>IFERROR(--AND(tblHistory[[#This Row],[Score]]&gt;=60,tblHistory[[#This Row],[BIZD S]]&gt;=0.8,tblHistory[[#This Row],[BKLN S]]&gt;=0.5),0)</f>
        <v/>
      </c>
      <c r="X494" s="43">
        <f>IFERROR(--AND(tblHistory[[#This Row],[Score]]&gt;=70,tblHistory[[#This Row],[SOX S]]&gt;=0.83,tblHistory[[#This Row],[AIQ S]]&gt;=0.8),0)</f>
        <v/>
      </c>
      <c r="Y494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494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494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494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494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495">
      <c r="A495" s="39" t="n">
        <v>45623</v>
      </c>
      <c r="B495" s="40" t="n">
        <v>20509.13</v>
      </c>
      <c r="C495" s="40" t="n">
        <v>6861.73</v>
      </c>
      <c r="D495" s="40" t="n">
        <v>34</v>
      </c>
      <c r="E495" s="40" t="n">
        <v>147.76</v>
      </c>
      <c r="F495" s="40" t="n"/>
      <c r="G495" s="40" t="n">
        <v>16.17</v>
      </c>
      <c r="H495" s="40" t="n">
        <v>21.01</v>
      </c>
      <c r="I495" s="41" t="n">
        <v>312</v>
      </c>
      <c r="J495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495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495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495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495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495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495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495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495" s="43">
        <f>(Dashboard!$C$13*tblHistory[[#This Row],[NDX S]]+Dashboard!$C$14*tblHistory[[#This Row],[SOX S]]+Dashboard!$C$15*tblHistory[[#This Row],[AIQ S]])/SUM(Dashboard!$C$13:$C$15)*100</f>
        <v/>
      </c>
      <c r="S495" s="43">
        <f>(Dashboard!$C$16*tblHistory[[#This Row],[ORCL S]]+Dashboard!$C$17*tblHistory[[#This Row],[CRWV S]])/SUM(Dashboard!$C$16:$C$17)*100</f>
        <v/>
      </c>
      <c r="T495" s="43">
        <f>(Dashboard!$C$18*tblHistory[[#This Row],[BIZD S]]+Dashboard!$C$19*tblHistory[[#This Row],[BKLN S]]+Dashboard!$C$20*tblHistory[[#This Row],[HY S]])/SUM(Dashboard!$C$18:$C$20)*100</f>
        <v/>
      </c>
      <c r="U495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495" s="43">
        <f>IFERROR(--(tblHistory[[#This Row],[Score]]&gt;=50),0)</f>
        <v/>
      </c>
      <c r="W495" s="43">
        <f>IFERROR(--AND(tblHistory[[#This Row],[Score]]&gt;=60,tblHistory[[#This Row],[BIZD S]]&gt;=0.8,tblHistory[[#This Row],[BKLN S]]&gt;=0.5),0)</f>
        <v/>
      </c>
      <c r="X495" s="43">
        <f>IFERROR(--AND(tblHistory[[#This Row],[Score]]&gt;=70,tblHistory[[#This Row],[SOX S]]&gt;=0.83,tblHistory[[#This Row],[AIQ S]]&gt;=0.8),0)</f>
        <v/>
      </c>
      <c r="Y495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495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495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495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495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496">
      <c r="A496" s="39" t="n">
        <v>45622</v>
      </c>
      <c r="B496" s="40" t="n">
        <v>20679.53</v>
      </c>
      <c r="C496" s="40" t="n">
        <v>6769.66</v>
      </c>
      <c r="D496" s="40" t="n">
        <v>33.97</v>
      </c>
      <c r="E496" s="40" t="n">
        <v>147.34</v>
      </c>
      <c r="F496" s="40" t="n"/>
      <c r="G496" s="40" t="n">
        <v>16.11</v>
      </c>
      <c r="H496" s="40" t="n">
        <v>20.99</v>
      </c>
      <c r="I496" s="41" t="n">
        <v>319</v>
      </c>
      <c r="J496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496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496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496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496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496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496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496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496" s="43">
        <f>(Dashboard!$C$13*tblHistory[[#This Row],[NDX S]]+Dashboard!$C$14*tblHistory[[#This Row],[SOX S]]+Dashboard!$C$15*tblHistory[[#This Row],[AIQ S]])/SUM(Dashboard!$C$13:$C$15)*100</f>
        <v/>
      </c>
      <c r="S496" s="43">
        <f>(Dashboard!$C$16*tblHistory[[#This Row],[ORCL S]]+Dashboard!$C$17*tblHistory[[#This Row],[CRWV S]])/SUM(Dashboard!$C$16:$C$17)*100</f>
        <v/>
      </c>
      <c r="T496" s="43">
        <f>(Dashboard!$C$18*tblHistory[[#This Row],[BIZD S]]+Dashboard!$C$19*tblHistory[[#This Row],[BKLN S]]+Dashboard!$C$20*tblHistory[[#This Row],[HY S]])/SUM(Dashboard!$C$18:$C$20)*100</f>
        <v/>
      </c>
      <c r="U496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496" s="43">
        <f>IFERROR(--(tblHistory[[#This Row],[Score]]&gt;=50),0)</f>
        <v/>
      </c>
      <c r="W496" s="43">
        <f>IFERROR(--AND(tblHistory[[#This Row],[Score]]&gt;=60,tblHistory[[#This Row],[BIZD S]]&gt;=0.8,tblHistory[[#This Row],[BKLN S]]&gt;=0.5),0)</f>
        <v/>
      </c>
      <c r="X496" s="43">
        <f>IFERROR(--AND(tblHistory[[#This Row],[Score]]&gt;=70,tblHistory[[#This Row],[SOX S]]&gt;=0.83,tblHistory[[#This Row],[AIQ S]]&gt;=0.8),0)</f>
        <v/>
      </c>
      <c r="Y496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496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496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496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496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497">
      <c r="A497" s="39" t="n">
        <v>45621</v>
      </c>
      <c r="B497" s="40" t="n">
        <v>20821.55</v>
      </c>
      <c r="C497" s="40" t="n">
        <v>6856.14</v>
      </c>
      <c r="D497" s="40" t="n">
        <v>33.54</v>
      </c>
      <c r="E497" s="40" t="n">
        <v>148.83</v>
      </c>
      <c r="F497" s="40" t="n"/>
      <c r="G497" s="40" t="n">
        <v>16.29</v>
      </c>
      <c r="H497" s="40" t="n">
        <v>21.04</v>
      </c>
      <c r="I497" s="41" t="n">
        <v>313</v>
      </c>
      <c r="J497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497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497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497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497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497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497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497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497" s="43">
        <f>(Dashboard!$C$13*tblHistory[[#This Row],[NDX S]]+Dashboard!$C$14*tblHistory[[#This Row],[SOX S]]+Dashboard!$C$15*tblHistory[[#This Row],[AIQ S]])/SUM(Dashboard!$C$13:$C$15)*100</f>
        <v/>
      </c>
      <c r="S497" s="43">
        <f>(Dashboard!$C$16*tblHistory[[#This Row],[ORCL S]]+Dashboard!$C$17*tblHistory[[#This Row],[CRWV S]])/SUM(Dashboard!$C$16:$C$17)*100</f>
        <v/>
      </c>
      <c r="T497" s="43">
        <f>(Dashboard!$C$18*tblHistory[[#This Row],[BIZD S]]+Dashboard!$C$19*tblHistory[[#This Row],[BKLN S]]+Dashboard!$C$20*tblHistory[[#This Row],[HY S]])/SUM(Dashboard!$C$18:$C$20)*100</f>
        <v/>
      </c>
      <c r="U497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497" s="43">
        <f>IFERROR(--(tblHistory[[#This Row],[Score]]&gt;=50),0)</f>
        <v/>
      </c>
      <c r="W497" s="43">
        <f>IFERROR(--AND(tblHistory[[#This Row],[Score]]&gt;=60,tblHistory[[#This Row],[BIZD S]]&gt;=0.8,tblHistory[[#This Row],[BKLN S]]&gt;=0.5),0)</f>
        <v/>
      </c>
      <c r="X497" s="43">
        <f>IFERROR(--AND(tblHistory[[#This Row],[Score]]&gt;=70,tblHistory[[#This Row],[SOX S]]&gt;=0.83,tblHistory[[#This Row],[AIQ S]]&gt;=0.8),0)</f>
        <v/>
      </c>
      <c r="Y497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497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497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497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497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498">
      <c r="A498" s="39" t="n">
        <v>45618</v>
      </c>
      <c r="B498" s="40" t="n">
        <v>20512.29</v>
      </c>
      <c r="C498" s="40" t="n">
        <v>6669.71</v>
      </c>
      <c r="D498" s="40" t="n">
        <v>33.59</v>
      </c>
      <c r="E498" s="40" t="n">
        <v>149.98</v>
      </c>
      <c r="F498" s="40" t="n"/>
      <c r="G498" s="40" t="n">
        <v>16.4</v>
      </c>
      <c r="H498" s="40" t="n">
        <v>20.98</v>
      </c>
      <c r="I498" s="41" t="n">
        <v>309</v>
      </c>
      <c r="J498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498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498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498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498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498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498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498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498" s="43">
        <f>(Dashboard!$C$13*tblHistory[[#This Row],[NDX S]]+Dashboard!$C$14*tblHistory[[#This Row],[SOX S]]+Dashboard!$C$15*tblHistory[[#This Row],[AIQ S]])/SUM(Dashboard!$C$13:$C$15)*100</f>
        <v/>
      </c>
      <c r="S498" s="43">
        <f>(Dashboard!$C$16*tblHistory[[#This Row],[ORCL S]]+Dashboard!$C$17*tblHistory[[#This Row],[CRWV S]])/SUM(Dashboard!$C$16:$C$17)*100</f>
        <v/>
      </c>
      <c r="T498" s="43">
        <f>(Dashboard!$C$18*tblHistory[[#This Row],[BIZD S]]+Dashboard!$C$19*tblHistory[[#This Row],[BKLN S]]+Dashboard!$C$20*tblHistory[[#This Row],[HY S]])/SUM(Dashboard!$C$18:$C$20)*100</f>
        <v/>
      </c>
      <c r="U498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498" s="43">
        <f>IFERROR(--(tblHistory[[#This Row],[Score]]&gt;=50),0)</f>
        <v/>
      </c>
      <c r="W498" s="43">
        <f>IFERROR(--AND(tblHistory[[#This Row],[Score]]&gt;=60,tblHistory[[#This Row],[BIZD S]]&gt;=0.8,tblHistory[[#This Row],[BKLN S]]&gt;=0.5),0)</f>
        <v/>
      </c>
      <c r="X498" s="43">
        <f>IFERROR(--AND(tblHistory[[#This Row],[Score]]&gt;=70,tblHistory[[#This Row],[SOX S]]&gt;=0.83,tblHistory[[#This Row],[AIQ S]]&gt;=0.8),0)</f>
        <v/>
      </c>
      <c r="Y498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498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498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498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498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499">
      <c r="A499" s="39" t="n">
        <v>45617</v>
      </c>
      <c r="B499" s="40" t="n">
        <v>20363.52</v>
      </c>
      <c r="C499" s="40" t="n">
        <v>6719.53</v>
      </c>
      <c r="D499" s="40" t="n">
        <v>33.63</v>
      </c>
      <c r="E499" s="40" t="n">
        <v>149.14</v>
      </c>
      <c r="F499" s="40" t="n"/>
      <c r="G499" s="40" t="n">
        <v>16.29</v>
      </c>
      <c r="H499" s="40" t="n">
        <v>20.95</v>
      </c>
      <c r="I499" s="41" t="n">
        <v>319</v>
      </c>
      <c r="J499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499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499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499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499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499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499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499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499" s="43">
        <f>(Dashboard!$C$13*tblHistory[[#This Row],[NDX S]]+Dashboard!$C$14*tblHistory[[#This Row],[SOX S]]+Dashboard!$C$15*tblHistory[[#This Row],[AIQ S]])/SUM(Dashboard!$C$13:$C$15)*100</f>
        <v/>
      </c>
      <c r="S499" s="43">
        <f>(Dashboard!$C$16*tblHistory[[#This Row],[ORCL S]]+Dashboard!$C$17*tblHistory[[#This Row],[CRWV S]])/SUM(Dashboard!$C$16:$C$17)*100</f>
        <v/>
      </c>
      <c r="T499" s="43">
        <f>(Dashboard!$C$18*tblHistory[[#This Row],[BIZD S]]+Dashboard!$C$19*tblHistory[[#This Row],[BKLN S]]+Dashboard!$C$20*tblHistory[[#This Row],[HY S]])/SUM(Dashboard!$C$18:$C$20)*100</f>
        <v/>
      </c>
      <c r="U499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499" s="43">
        <f>IFERROR(--(tblHistory[[#This Row],[Score]]&gt;=50),0)</f>
        <v/>
      </c>
      <c r="W499" s="43">
        <f>IFERROR(--AND(tblHistory[[#This Row],[Score]]&gt;=60,tblHistory[[#This Row],[BIZD S]]&gt;=0.8,tblHistory[[#This Row],[BKLN S]]&gt;=0.5),0)</f>
        <v/>
      </c>
      <c r="X499" s="43">
        <f>IFERROR(--AND(tblHistory[[#This Row],[Score]]&gt;=70,tblHistory[[#This Row],[SOX S]]&gt;=0.83,tblHistory[[#This Row],[AIQ S]]&gt;=0.8),0)</f>
        <v/>
      </c>
      <c r="Y499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499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499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499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499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500">
      <c r="A500" s="39" t="n">
        <v>45616</v>
      </c>
      <c r="B500" s="40" t="n">
        <v>19936.15</v>
      </c>
      <c r="C500" s="40" t="n">
        <v>6680.65</v>
      </c>
      <c r="D500" s="40" t="n">
        <v>33.38</v>
      </c>
      <c r="E500" s="40" t="n">
        <v>150.2</v>
      </c>
      <c r="F500" s="40" t="n"/>
      <c r="G500" s="40" t="n">
        <v>16.36</v>
      </c>
      <c r="H500" s="40" t="n">
        <v>20.97</v>
      </c>
      <c r="I500" s="41" t="n">
        <v>317</v>
      </c>
      <c r="J500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500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500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500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500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500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500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500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500" s="43">
        <f>(Dashboard!$C$13*tblHistory[[#This Row],[NDX S]]+Dashboard!$C$14*tblHistory[[#This Row],[SOX S]]+Dashboard!$C$15*tblHistory[[#This Row],[AIQ S]])/SUM(Dashboard!$C$13:$C$15)*100</f>
        <v/>
      </c>
      <c r="S500" s="43">
        <f>(Dashboard!$C$16*tblHistory[[#This Row],[ORCL S]]+Dashboard!$C$17*tblHistory[[#This Row],[CRWV S]])/SUM(Dashboard!$C$16:$C$17)*100</f>
        <v/>
      </c>
      <c r="T500" s="43">
        <f>(Dashboard!$C$18*tblHistory[[#This Row],[BIZD S]]+Dashboard!$C$19*tblHistory[[#This Row],[BKLN S]]+Dashboard!$C$20*tblHistory[[#This Row],[HY S]])/SUM(Dashboard!$C$18:$C$20)*100</f>
        <v/>
      </c>
      <c r="U500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500" s="43">
        <f>IFERROR(--(tblHistory[[#This Row],[Score]]&gt;=50),0)</f>
        <v/>
      </c>
      <c r="W500" s="43">
        <f>IFERROR(--AND(tblHistory[[#This Row],[Score]]&gt;=60,tblHistory[[#This Row],[BIZD S]]&gt;=0.8,tblHistory[[#This Row],[BKLN S]]&gt;=0.5),0)</f>
        <v/>
      </c>
      <c r="X500" s="43">
        <f>IFERROR(--AND(tblHistory[[#This Row],[Score]]&gt;=70,tblHistory[[#This Row],[SOX S]]&gt;=0.83,tblHistory[[#This Row],[AIQ S]]&gt;=0.8),0)</f>
        <v/>
      </c>
      <c r="Y500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500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500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500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500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501">
      <c r="A501" s="39" t="n">
        <v>45615</v>
      </c>
      <c r="B501" s="40" t="n">
        <v>20082.89</v>
      </c>
      <c r="C501" s="40" t="n">
        <v>6673.66</v>
      </c>
      <c r="D501" s="40" t="n">
        <v>33.15</v>
      </c>
      <c r="E501" s="40" t="n">
        <v>150.49</v>
      </c>
      <c r="F501" s="40" t="n"/>
      <c r="G501" s="40" t="n">
        <v>16.36</v>
      </c>
      <c r="H501" s="40" t="n">
        <v>20.96</v>
      </c>
      <c r="I501" s="41" t="n">
        <v>315</v>
      </c>
      <c r="J501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501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501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501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501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501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501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501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501" s="43">
        <f>(Dashboard!$C$13*tblHistory[[#This Row],[NDX S]]+Dashboard!$C$14*tblHistory[[#This Row],[SOX S]]+Dashboard!$C$15*tblHistory[[#This Row],[AIQ S]])/SUM(Dashboard!$C$13:$C$15)*100</f>
        <v/>
      </c>
      <c r="S501" s="43">
        <f>(Dashboard!$C$16*tblHistory[[#This Row],[ORCL S]]+Dashboard!$C$17*tblHistory[[#This Row],[CRWV S]])/SUM(Dashboard!$C$16:$C$17)*100</f>
        <v/>
      </c>
      <c r="T501" s="43">
        <f>(Dashboard!$C$18*tblHistory[[#This Row],[BIZD S]]+Dashboard!$C$19*tblHistory[[#This Row],[BKLN S]]+Dashboard!$C$20*tblHistory[[#This Row],[HY S]])/SUM(Dashboard!$C$18:$C$20)*100</f>
        <v/>
      </c>
      <c r="U501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501" s="43">
        <f>IFERROR(--(tblHistory[[#This Row],[Score]]&gt;=50),0)</f>
        <v/>
      </c>
      <c r="W501" s="43">
        <f>IFERROR(--AND(tblHistory[[#This Row],[Score]]&gt;=60,tblHistory[[#This Row],[BIZD S]]&gt;=0.8,tblHistory[[#This Row],[BKLN S]]&gt;=0.5),0)</f>
        <v/>
      </c>
      <c r="X501" s="43">
        <f>IFERROR(--AND(tblHistory[[#This Row],[Score]]&gt;=70,tblHistory[[#This Row],[SOX S]]&gt;=0.83,tblHistory[[#This Row],[AIQ S]]&gt;=0.8),0)</f>
        <v/>
      </c>
      <c r="Y501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501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501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501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501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502">
      <c r="A502" s="39" t="n">
        <v>45614</v>
      </c>
      <c r="B502" s="40" t="n">
        <v>19976.14</v>
      </c>
      <c r="C502" s="40" t="n">
        <v>6461.1</v>
      </c>
      <c r="D502" s="40" t="n">
        <v>33.2</v>
      </c>
      <c r="E502" s="40" t="n">
        <v>147.02</v>
      </c>
      <c r="F502" s="40" t="n"/>
      <c r="G502" s="40" t="n">
        <v>16.48</v>
      </c>
      <c r="H502" s="40" t="n">
        <v>20.97</v>
      </c>
      <c r="I502" s="41" t="n">
        <v>318</v>
      </c>
      <c r="J502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502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502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502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502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502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502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502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502" s="43">
        <f>(Dashboard!$C$13*tblHistory[[#This Row],[NDX S]]+Dashboard!$C$14*tblHistory[[#This Row],[SOX S]]+Dashboard!$C$15*tblHistory[[#This Row],[AIQ S]])/SUM(Dashboard!$C$13:$C$15)*100</f>
        <v/>
      </c>
      <c r="S502" s="43">
        <f>(Dashboard!$C$16*tblHistory[[#This Row],[ORCL S]]+Dashboard!$C$17*tblHistory[[#This Row],[CRWV S]])/SUM(Dashboard!$C$16:$C$17)*100</f>
        <v/>
      </c>
      <c r="T502" s="43">
        <f>(Dashboard!$C$18*tblHistory[[#This Row],[BIZD S]]+Dashboard!$C$19*tblHistory[[#This Row],[BKLN S]]+Dashboard!$C$20*tblHistory[[#This Row],[HY S]])/SUM(Dashboard!$C$18:$C$20)*100</f>
        <v/>
      </c>
      <c r="U502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502" s="43">
        <f>IFERROR(--(tblHistory[[#This Row],[Score]]&gt;=50),0)</f>
        <v/>
      </c>
      <c r="W502" s="43">
        <f>IFERROR(--AND(tblHistory[[#This Row],[Score]]&gt;=60,tblHistory[[#This Row],[BIZD S]]&gt;=0.8,tblHistory[[#This Row],[BKLN S]]&gt;=0.5),0)</f>
        <v/>
      </c>
      <c r="X502" s="43">
        <f>IFERROR(--AND(tblHistory[[#This Row],[Score]]&gt;=70,tblHistory[[#This Row],[SOX S]]&gt;=0.83,tblHistory[[#This Row],[AIQ S]]&gt;=0.8),0)</f>
        <v/>
      </c>
      <c r="Y502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502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502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502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502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503">
      <c r="A503" s="39" t="n">
        <v>45611</v>
      </c>
      <c r="B503" s="40" t="n">
        <v>19890.34</v>
      </c>
      <c r="C503" s="40" t="n">
        <v>6245.13</v>
      </c>
      <c r="D503" s="40" t="n">
        <v>34.11</v>
      </c>
      <c r="E503" s="40" t="n">
        <v>150.73</v>
      </c>
      <c r="F503" s="40" t="n"/>
      <c r="G503" s="40" t="n">
        <v>16.32</v>
      </c>
      <c r="H503" s="40" t="n">
        <v>21.01</v>
      </c>
      <c r="I503" s="41" t="n">
        <v>314</v>
      </c>
      <c r="J503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503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503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503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503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503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503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503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503" s="43">
        <f>(Dashboard!$C$13*tblHistory[[#This Row],[NDX S]]+Dashboard!$C$14*tblHistory[[#This Row],[SOX S]]+Dashboard!$C$15*tblHistory[[#This Row],[AIQ S]])/SUM(Dashboard!$C$13:$C$15)*100</f>
        <v/>
      </c>
      <c r="S503" s="43">
        <f>(Dashboard!$C$16*tblHistory[[#This Row],[ORCL S]]+Dashboard!$C$17*tblHistory[[#This Row],[CRWV S]])/SUM(Dashboard!$C$16:$C$17)*100</f>
        <v/>
      </c>
      <c r="T503" s="43">
        <f>(Dashboard!$C$18*tblHistory[[#This Row],[BIZD S]]+Dashboard!$C$19*tblHistory[[#This Row],[BKLN S]]+Dashboard!$C$20*tblHistory[[#This Row],[HY S]])/SUM(Dashboard!$C$18:$C$20)*100</f>
        <v/>
      </c>
      <c r="U503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503" s="43">
        <f>IFERROR(--(tblHistory[[#This Row],[Score]]&gt;=50),0)</f>
        <v/>
      </c>
      <c r="W503" s="43">
        <f>IFERROR(--AND(tblHistory[[#This Row],[Score]]&gt;=60,tblHistory[[#This Row],[BIZD S]]&gt;=0.8,tblHistory[[#This Row],[BKLN S]]&gt;=0.5),0)</f>
        <v/>
      </c>
      <c r="X503" s="43">
        <f>IFERROR(--AND(tblHistory[[#This Row],[Score]]&gt;=70,tblHistory[[#This Row],[SOX S]]&gt;=0.83,tblHistory[[#This Row],[AIQ S]]&gt;=0.8),0)</f>
        <v/>
      </c>
      <c r="Y503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503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503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503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503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504">
      <c r="A504" s="39" t="n">
        <v>45610</v>
      </c>
      <c r="B504" s="40" t="n">
        <v>20032.2</v>
      </c>
      <c r="C504" s="40" t="n">
        <v>6333.04</v>
      </c>
      <c r="D504" s="40" t="n">
        <v>34.4</v>
      </c>
      <c r="E504" s="40" t="n">
        <v>156.68</v>
      </c>
      <c r="F504" s="40" t="n"/>
      <c r="G504" s="40" t="n">
        <v>16.35</v>
      </c>
      <c r="H504" s="40" t="n">
        <v>21.03</v>
      </c>
      <c r="I504" s="41" t="n">
        <v>317</v>
      </c>
      <c r="J504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504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504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504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504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504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504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504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504" s="43">
        <f>(Dashboard!$C$13*tblHistory[[#This Row],[NDX S]]+Dashboard!$C$14*tblHistory[[#This Row],[SOX S]]+Dashboard!$C$15*tblHistory[[#This Row],[AIQ S]])/SUM(Dashboard!$C$13:$C$15)*100</f>
        <v/>
      </c>
      <c r="S504" s="43">
        <f>(Dashboard!$C$16*tblHistory[[#This Row],[ORCL S]]+Dashboard!$C$17*tblHistory[[#This Row],[CRWV S]])/SUM(Dashboard!$C$16:$C$17)*100</f>
        <v/>
      </c>
      <c r="T504" s="43">
        <f>(Dashboard!$C$18*tblHistory[[#This Row],[BIZD S]]+Dashboard!$C$19*tblHistory[[#This Row],[BKLN S]]+Dashboard!$C$20*tblHistory[[#This Row],[HY S]])/SUM(Dashboard!$C$18:$C$20)*100</f>
        <v/>
      </c>
      <c r="U504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504" s="43">
        <f>IFERROR(--(tblHistory[[#This Row],[Score]]&gt;=50),0)</f>
        <v/>
      </c>
      <c r="W504" s="43">
        <f>IFERROR(--AND(tblHistory[[#This Row],[Score]]&gt;=60,tblHistory[[#This Row],[BIZD S]]&gt;=0.8,tblHistory[[#This Row],[BKLN S]]&gt;=0.5),0)</f>
        <v/>
      </c>
      <c r="X504" s="43">
        <f>IFERROR(--AND(tblHistory[[#This Row],[Score]]&gt;=70,tblHistory[[#This Row],[SOX S]]&gt;=0.83,tblHistory[[#This Row],[AIQ S]]&gt;=0.8),0)</f>
        <v/>
      </c>
      <c r="Y504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504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504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504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504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505">
      <c r="A505" s="39" t="n">
        <v>45609</v>
      </c>
      <c r="B505" s="40" t="n">
        <v>19895.41</v>
      </c>
      <c r="C505" s="40" t="n">
        <v>6243.8</v>
      </c>
      <c r="D505" s="40" t="n">
        <v>34.74</v>
      </c>
      <c r="E505" s="40" t="n">
        <v>156.28</v>
      </c>
      <c r="F505" s="40" t="n"/>
      <c r="G505" s="40" t="n">
        <v>16.47</v>
      </c>
      <c r="H505" s="40" t="n">
        <v>20.99</v>
      </c>
      <c r="I505" s="41" t="n">
        <v>314</v>
      </c>
      <c r="J505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505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505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505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505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505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505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505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505" s="43">
        <f>(Dashboard!$C$13*tblHistory[[#This Row],[NDX S]]+Dashboard!$C$14*tblHistory[[#This Row],[SOX S]]+Dashboard!$C$15*tblHistory[[#This Row],[AIQ S]])/SUM(Dashboard!$C$13:$C$15)*100</f>
        <v/>
      </c>
      <c r="S505" s="43">
        <f>(Dashboard!$C$16*tblHistory[[#This Row],[ORCL S]]+Dashboard!$C$17*tblHistory[[#This Row],[CRWV S]])/SUM(Dashboard!$C$16:$C$17)*100</f>
        <v/>
      </c>
      <c r="T505" s="43">
        <f>(Dashboard!$C$18*tblHistory[[#This Row],[BIZD S]]+Dashboard!$C$19*tblHistory[[#This Row],[BKLN S]]+Dashboard!$C$20*tblHistory[[#This Row],[HY S]])/SUM(Dashboard!$C$18:$C$20)*100</f>
        <v/>
      </c>
      <c r="U505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505" s="43">
        <f>IFERROR(--(tblHistory[[#This Row],[Score]]&gt;=50),0)</f>
        <v/>
      </c>
      <c r="W505" s="43">
        <f>IFERROR(--AND(tblHistory[[#This Row],[Score]]&gt;=60,tblHistory[[#This Row],[BIZD S]]&gt;=0.8,tblHistory[[#This Row],[BKLN S]]&gt;=0.5),0)</f>
        <v/>
      </c>
      <c r="X505" s="43">
        <f>IFERROR(--AND(tblHistory[[#This Row],[Score]]&gt;=70,tblHistory[[#This Row],[SOX S]]&gt;=0.83,tblHistory[[#This Row],[AIQ S]]&gt;=0.8),0)</f>
        <v/>
      </c>
      <c r="Y505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505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505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505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505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506">
      <c r="A506" s="39" t="n">
        <v>45608</v>
      </c>
      <c r="B506" s="40" t="n">
        <v>19894.44</v>
      </c>
      <c r="C506" s="40" t="n">
        <v>6170.8</v>
      </c>
      <c r="D506" s="40" t="n">
        <v>34.66</v>
      </c>
      <c r="E506" s="40" t="n">
        <v>153.1</v>
      </c>
      <c r="F506" s="40" t="n"/>
      <c r="G506" s="40" t="n">
        <v>16.44</v>
      </c>
      <c r="H506" s="40" t="n">
        <v>20.96</v>
      </c>
      <c r="I506" s="41" t="n">
        <v>315</v>
      </c>
      <c r="J506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506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506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506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506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506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506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506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506" s="43">
        <f>(Dashboard!$C$13*tblHistory[[#This Row],[NDX S]]+Dashboard!$C$14*tblHistory[[#This Row],[SOX S]]+Dashboard!$C$15*tblHistory[[#This Row],[AIQ S]])/SUM(Dashboard!$C$13:$C$15)*100</f>
        <v/>
      </c>
      <c r="S506" s="43">
        <f>(Dashboard!$C$16*tblHistory[[#This Row],[ORCL S]]+Dashboard!$C$17*tblHistory[[#This Row],[CRWV S]])/SUM(Dashboard!$C$16:$C$17)*100</f>
        <v/>
      </c>
      <c r="T506" s="43">
        <f>(Dashboard!$C$18*tblHistory[[#This Row],[BIZD S]]+Dashboard!$C$19*tblHistory[[#This Row],[BKLN S]]+Dashboard!$C$20*tblHistory[[#This Row],[HY S]])/SUM(Dashboard!$C$18:$C$20)*100</f>
        <v/>
      </c>
      <c r="U506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506" s="43">
        <f>IFERROR(--(tblHistory[[#This Row],[Score]]&gt;=50),0)</f>
        <v/>
      </c>
      <c r="W506" s="43">
        <f>IFERROR(--AND(tblHistory[[#This Row],[Score]]&gt;=60,tblHistory[[#This Row],[BIZD S]]&gt;=0.8,tblHistory[[#This Row],[BKLN S]]&gt;=0.5),0)</f>
        <v/>
      </c>
      <c r="X506" s="43">
        <f>IFERROR(--AND(tblHistory[[#This Row],[Score]]&gt;=70,tblHistory[[#This Row],[SOX S]]&gt;=0.83,tblHistory[[#This Row],[AIQ S]]&gt;=0.8),0)</f>
        <v/>
      </c>
      <c r="Y506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506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506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506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506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507">
      <c r="A507" s="39" t="n">
        <v>45607</v>
      </c>
      <c r="B507" s="40" t="n">
        <v>19809.76</v>
      </c>
      <c r="C507" s="40" t="n">
        <v>6136.31</v>
      </c>
      <c r="D507" s="40" t="n">
        <v>34.39</v>
      </c>
      <c r="E507" s="40" t="n">
        <v>154.62</v>
      </c>
      <c r="F507" s="40" t="n"/>
      <c r="G507" s="40" t="n">
        <v>16.63</v>
      </c>
      <c r="H507" s="40" t="n">
        <v>20.96</v>
      </c>
      <c r="I507" s="41" t="n">
        <v>319</v>
      </c>
      <c r="J507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507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507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507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507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507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507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507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507" s="43">
        <f>(Dashboard!$C$13*tblHistory[[#This Row],[NDX S]]+Dashboard!$C$14*tblHistory[[#This Row],[SOX S]]+Dashboard!$C$15*tblHistory[[#This Row],[AIQ S]])/SUM(Dashboard!$C$13:$C$15)*100</f>
        <v/>
      </c>
      <c r="S507" s="43">
        <f>(Dashboard!$C$16*tblHistory[[#This Row],[ORCL S]]+Dashboard!$C$17*tblHistory[[#This Row],[CRWV S]])/SUM(Dashboard!$C$16:$C$17)*100</f>
        <v/>
      </c>
      <c r="T507" s="43">
        <f>(Dashboard!$C$18*tblHistory[[#This Row],[BIZD S]]+Dashboard!$C$19*tblHistory[[#This Row],[BKLN S]]+Dashboard!$C$20*tblHistory[[#This Row],[HY S]])/SUM(Dashboard!$C$18:$C$20)*100</f>
        <v/>
      </c>
      <c r="U507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507" s="43">
        <f>IFERROR(--(tblHistory[[#This Row],[Score]]&gt;=50),0)</f>
        <v/>
      </c>
      <c r="W507" s="43">
        <f>IFERROR(--AND(tblHistory[[#This Row],[Score]]&gt;=60,tblHistory[[#This Row],[BIZD S]]&gt;=0.8,tblHistory[[#This Row],[BKLN S]]&gt;=0.5),0)</f>
        <v/>
      </c>
      <c r="X507" s="43">
        <f>IFERROR(--AND(tblHistory[[#This Row],[Score]]&gt;=70,tblHistory[[#This Row],[SOX S]]&gt;=0.83,tblHistory[[#This Row],[AIQ S]]&gt;=0.8),0)</f>
        <v/>
      </c>
      <c r="Y507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507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507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507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507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508">
      <c r="A508" s="39" t="n">
        <v>45604</v>
      </c>
      <c r="B508" s="40" t="n">
        <v>19909.42</v>
      </c>
      <c r="C508" s="40" t="n">
        <v>6226.84</v>
      </c>
      <c r="D508" s="40" t="n">
        <v>34.35</v>
      </c>
      <c r="E508" s="40" t="n">
        <v>151.59</v>
      </c>
      <c r="F508" s="40" t="n"/>
      <c r="G508" s="40" t="n">
        <v>16.5</v>
      </c>
      <c r="H508" s="40" t="n">
        <v>20.97</v>
      </c>
      <c r="I508" s="41" t="n">
        <v>318</v>
      </c>
      <c r="J508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508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508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508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508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508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508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508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508" s="43">
        <f>(Dashboard!$C$13*tblHistory[[#This Row],[NDX S]]+Dashboard!$C$14*tblHistory[[#This Row],[SOX S]]+Dashboard!$C$15*tblHistory[[#This Row],[AIQ S]])/SUM(Dashboard!$C$13:$C$15)*100</f>
        <v/>
      </c>
      <c r="S508" s="43">
        <f>(Dashboard!$C$16*tblHistory[[#This Row],[ORCL S]]+Dashboard!$C$17*tblHistory[[#This Row],[CRWV S]])/SUM(Dashboard!$C$16:$C$17)*100</f>
        <v/>
      </c>
      <c r="T508" s="43">
        <f>(Dashboard!$C$18*tblHistory[[#This Row],[BIZD S]]+Dashboard!$C$19*tblHistory[[#This Row],[BKLN S]]+Dashboard!$C$20*tblHistory[[#This Row],[HY S]])/SUM(Dashboard!$C$18:$C$20)*100</f>
        <v/>
      </c>
      <c r="U508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508" s="43">
        <f>IFERROR(--(tblHistory[[#This Row],[Score]]&gt;=50),0)</f>
        <v/>
      </c>
      <c r="W508" s="43">
        <f>IFERROR(--AND(tblHistory[[#This Row],[Score]]&gt;=60,tblHistory[[#This Row],[BIZD S]]&gt;=0.8,tblHistory[[#This Row],[BKLN S]]&gt;=0.5),0)</f>
        <v/>
      </c>
      <c r="X508" s="43">
        <f>IFERROR(--AND(tblHistory[[#This Row],[Score]]&gt;=70,tblHistory[[#This Row],[SOX S]]&gt;=0.83,tblHistory[[#This Row],[AIQ S]]&gt;=0.8),0)</f>
        <v/>
      </c>
      <c r="Y508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508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508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508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508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509">
      <c r="A509" s="39" t="n">
        <v>45603</v>
      </c>
      <c r="B509" s="40" t="n">
        <v>20111.03</v>
      </c>
      <c r="C509" s="40" t="n">
        <v>6219.38</v>
      </c>
      <c r="D509" s="40" t="n">
        <v>34.34</v>
      </c>
      <c r="E509" s="40" t="n">
        <v>155.2</v>
      </c>
      <c r="F509" s="40" t="n"/>
      <c r="G509" s="40" t="n">
        <v>16.51</v>
      </c>
      <c r="H509" s="40" t="n">
        <v>21.01</v>
      </c>
      <c r="I509" s="41" t="n">
        <v>319</v>
      </c>
      <c r="J509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509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509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509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509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509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509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509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509" s="43">
        <f>(Dashboard!$C$13*tblHistory[[#This Row],[NDX S]]+Dashboard!$C$14*tblHistory[[#This Row],[SOX S]]+Dashboard!$C$15*tblHistory[[#This Row],[AIQ S]])/SUM(Dashboard!$C$13:$C$15)*100</f>
        <v/>
      </c>
      <c r="S509" s="43">
        <f>(Dashboard!$C$16*tblHistory[[#This Row],[ORCL S]]+Dashboard!$C$17*tblHistory[[#This Row],[CRWV S]])/SUM(Dashboard!$C$16:$C$17)*100</f>
        <v/>
      </c>
      <c r="T509" s="43">
        <f>(Dashboard!$C$18*tblHistory[[#This Row],[BIZD S]]+Dashboard!$C$19*tblHistory[[#This Row],[BKLN S]]+Dashboard!$C$20*tblHistory[[#This Row],[HY S]])/SUM(Dashboard!$C$18:$C$20)*100</f>
        <v/>
      </c>
      <c r="U509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509" s="43">
        <f>IFERROR(--(tblHistory[[#This Row],[Score]]&gt;=50),0)</f>
        <v/>
      </c>
      <c r="W509" s="43">
        <f>IFERROR(--AND(tblHistory[[#This Row],[Score]]&gt;=60,tblHistory[[#This Row],[BIZD S]]&gt;=0.8,tblHistory[[#This Row],[BKLN S]]&gt;=0.5),0)</f>
        <v/>
      </c>
      <c r="X509" s="43">
        <f>IFERROR(--AND(tblHistory[[#This Row],[Score]]&gt;=70,tblHistory[[#This Row],[SOX S]]&gt;=0.83,tblHistory[[#This Row],[AIQ S]]&gt;=0.8),0)</f>
        <v/>
      </c>
      <c r="Y509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509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509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509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509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510">
      <c r="A510" s="39" t="n">
        <v>45602</v>
      </c>
      <c r="B510" s="40" t="n">
        <v>20524</v>
      </c>
      <c r="C510" s="40" t="n">
        <v>6079.19</v>
      </c>
      <c r="D510" s="40" t="n">
        <v>34.65</v>
      </c>
      <c r="E510" s="40" t="n">
        <v>153.58</v>
      </c>
      <c r="F510" s="40" t="n"/>
      <c r="G510" s="40" t="n">
        <v>16.51</v>
      </c>
      <c r="H510" s="40" t="n">
        <v>21</v>
      </c>
      <c r="I510" s="41" t="n">
        <v>316</v>
      </c>
      <c r="J510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510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510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510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510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510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510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510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510" s="43">
        <f>(Dashboard!$C$13*tblHistory[[#This Row],[NDX S]]+Dashboard!$C$14*tblHistory[[#This Row],[SOX S]]+Dashboard!$C$15*tblHistory[[#This Row],[AIQ S]])/SUM(Dashboard!$C$13:$C$15)*100</f>
        <v/>
      </c>
      <c r="S510" s="43">
        <f>(Dashboard!$C$16*tblHistory[[#This Row],[ORCL S]]+Dashboard!$C$17*tblHistory[[#This Row],[CRWV S]])/SUM(Dashboard!$C$16:$C$17)*100</f>
        <v/>
      </c>
      <c r="T510" s="43">
        <f>(Dashboard!$C$18*tblHistory[[#This Row],[BIZD S]]+Dashboard!$C$19*tblHistory[[#This Row],[BKLN S]]+Dashboard!$C$20*tblHistory[[#This Row],[HY S]])/SUM(Dashboard!$C$18:$C$20)*100</f>
        <v/>
      </c>
      <c r="U510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510" s="43">
        <f>IFERROR(--(tblHistory[[#This Row],[Score]]&gt;=50),0)</f>
        <v/>
      </c>
      <c r="W510" s="43">
        <f>IFERROR(--AND(tblHistory[[#This Row],[Score]]&gt;=60,tblHistory[[#This Row],[BIZD S]]&gt;=0.8,tblHistory[[#This Row],[BKLN S]]&gt;=0.5),0)</f>
        <v/>
      </c>
      <c r="X510" s="43">
        <f>IFERROR(--AND(tblHistory[[#This Row],[Score]]&gt;=70,tblHistory[[#This Row],[SOX S]]&gt;=0.83,tblHistory[[#This Row],[AIQ S]]&gt;=0.8),0)</f>
        <v/>
      </c>
      <c r="Y510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510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510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510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510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511">
      <c r="A511" s="39" t="n">
        <v>45601</v>
      </c>
      <c r="B511" s="40" t="n">
        <v>20932.26</v>
      </c>
      <c r="C511" s="40" t="n">
        <v>6072.69</v>
      </c>
      <c r="D511" s="40" t="n">
        <v>35.21</v>
      </c>
      <c r="E511" s="40" t="n">
        <v>153.08</v>
      </c>
      <c r="F511" s="40" t="n"/>
      <c r="G511" s="40" t="n">
        <v>16.48</v>
      </c>
      <c r="H511" s="40" t="n">
        <v>21.05</v>
      </c>
      <c r="I511" s="41" t="n">
        <v>309</v>
      </c>
      <c r="J511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511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511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511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511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511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511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511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511" s="43">
        <f>(Dashboard!$C$13*tblHistory[[#This Row],[NDX S]]+Dashboard!$C$14*tblHistory[[#This Row],[SOX S]]+Dashboard!$C$15*tblHistory[[#This Row],[AIQ S]])/SUM(Dashboard!$C$13:$C$15)*100</f>
        <v/>
      </c>
      <c r="S511" s="43">
        <f>(Dashboard!$C$16*tblHistory[[#This Row],[ORCL S]]+Dashboard!$C$17*tblHistory[[#This Row],[CRWV S]])/SUM(Dashboard!$C$16:$C$17)*100</f>
        <v/>
      </c>
      <c r="T511" s="43">
        <f>(Dashboard!$C$18*tblHistory[[#This Row],[BIZD S]]+Dashboard!$C$19*tblHistory[[#This Row],[BKLN S]]+Dashboard!$C$20*tblHistory[[#This Row],[HY S]])/SUM(Dashboard!$C$18:$C$20)*100</f>
        <v/>
      </c>
      <c r="U511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511" s="43">
        <f>IFERROR(--(tblHistory[[#This Row],[Score]]&gt;=50),0)</f>
        <v/>
      </c>
      <c r="W511" s="43">
        <f>IFERROR(--AND(tblHistory[[#This Row],[Score]]&gt;=60,tblHistory[[#This Row],[BIZD S]]&gt;=0.8,tblHistory[[#This Row],[BKLN S]]&gt;=0.5),0)</f>
        <v/>
      </c>
      <c r="X511" s="43">
        <f>IFERROR(--AND(tblHistory[[#This Row],[Score]]&gt;=70,tblHistory[[#This Row],[SOX S]]&gt;=0.83,tblHistory[[#This Row],[AIQ S]]&gt;=0.8),0)</f>
        <v/>
      </c>
      <c r="Y511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511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511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511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511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512">
      <c r="A512" s="39" t="n">
        <v>45600</v>
      </c>
      <c r="B512" s="40" t="n">
        <v>20794.85</v>
      </c>
      <c r="C512" s="40" t="n">
        <v>6094.25</v>
      </c>
      <c r="D512" s="40" t="n">
        <v>36.21</v>
      </c>
      <c r="E512" s="40" t="n">
        <v>151.47</v>
      </c>
      <c r="F512" s="40" t="n"/>
      <c r="G512" s="40" t="n">
        <v>16.55</v>
      </c>
      <c r="H512" s="40" t="n">
        <v>20.97</v>
      </c>
      <c r="I512" s="41" t="n">
        <v>305</v>
      </c>
      <c r="J512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512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512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512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512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512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512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512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512" s="43">
        <f>(Dashboard!$C$13*tblHistory[[#This Row],[NDX S]]+Dashboard!$C$14*tblHistory[[#This Row],[SOX S]]+Dashboard!$C$15*tblHistory[[#This Row],[AIQ S]])/SUM(Dashboard!$C$13:$C$15)*100</f>
        <v/>
      </c>
      <c r="S512" s="43">
        <f>(Dashboard!$C$16*tblHistory[[#This Row],[ORCL S]]+Dashboard!$C$17*tblHistory[[#This Row],[CRWV S]])/SUM(Dashboard!$C$16:$C$17)*100</f>
        <v/>
      </c>
      <c r="T512" s="43">
        <f>(Dashboard!$C$18*tblHistory[[#This Row],[BIZD S]]+Dashboard!$C$19*tblHistory[[#This Row],[BKLN S]]+Dashboard!$C$20*tblHistory[[#This Row],[HY S]])/SUM(Dashboard!$C$18:$C$20)*100</f>
        <v/>
      </c>
      <c r="U512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512" s="43">
        <f>IFERROR(--(tblHistory[[#This Row],[Score]]&gt;=50),0)</f>
        <v/>
      </c>
      <c r="W512" s="43">
        <f>IFERROR(--AND(tblHistory[[#This Row],[Score]]&gt;=60,tblHistory[[#This Row],[BIZD S]]&gt;=0.8,tblHistory[[#This Row],[BKLN S]]&gt;=0.5),0)</f>
        <v/>
      </c>
      <c r="X512" s="43">
        <f>IFERROR(--AND(tblHistory[[#This Row],[Score]]&gt;=70,tblHistory[[#This Row],[SOX S]]&gt;=0.83,tblHistory[[#This Row],[AIQ S]]&gt;=0.8),0)</f>
        <v/>
      </c>
      <c r="Y512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512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512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512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512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513">
      <c r="A513" s="39" t="n">
        <v>45597</v>
      </c>
      <c r="B513" s="40" t="n">
        <v>20656.48</v>
      </c>
      <c r="C513" s="40" t="n">
        <v>5849.47</v>
      </c>
      <c r="D513" s="40" t="n">
        <v>37.07</v>
      </c>
      <c r="E513" s="40" t="n">
        <v>150.04</v>
      </c>
      <c r="F513" s="40" t="n"/>
      <c r="G513" s="40" t="n">
        <v>16.53</v>
      </c>
      <c r="H513" s="40" t="n">
        <v>20.98</v>
      </c>
      <c r="I513" s="41" t="n">
        <v>303</v>
      </c>
      <c r="J513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513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513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513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513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513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513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513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513" s="43">
        <f>(Dashboard!$C$13*tblHistory[[#This Row],[NDX S]]+Dashboard!$C$14*tblHistory[[#This Row],[SOX S]]+Dashboard!$C$15*tblHistory[[#This Row],[AIQ S]])/SUM(Dashboard!$C$13:$C$15)*100</f>
        <v/>
      </c>
      <c r="S513" s="43">
        <f>(Dashboard!$C$16*tblHistory[[#This Row],[ORCL S]]+Dashboard!$C$17*tblHistory[[#This Row],[CRWV S]])/SUM(Dashboard!$C$16:$C$17)*100</f>
        <v/>
      </c>
      <c r="T513" s="43">
        <f>(Dashboard!$C$18*tblHistory[[#This Row],[BIZD S]]+Dashboard!$C$19*tblHistory[[#This Row],[BKLN S]]+Dashboard!$C$20*tblHistory[[#This Row],[HY S]])/SUM(Dashboard!$C$18:$C$20)*100</f>
        <v/>
      </c>
      <c r="U513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513" s="43">
        <f>IFERROR(--(tblHistory[[#This Row],[Score]]&gt;=50),0)</f>
        <v/>
      </c>
      <c r="W513" s="43">
        <f>IFERROR(--AND(tblHistory[[#This Row],[Score]]&gt;=60,tblHistory[[#This Row],[BIZD S]]&gt;=0.8,tblHistory[[#This Row],[BKLN S]]&gt;=0.5),0)</f>
        <v/>
      </c>
      <c r="X513" s="43">
        <f>IFERROR(--AND(tblHistory[[#This Row],[Score]]&gt;=70,tblHistory[[#This Row],[SOX S]]&gt;=0.83,tblHistory[[#This Row],[AIQ S]]&gt;=0.8),0)</f>
        <v/>
      </c>
      <c r="Y513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513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513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513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513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514">
      <c r="A514" s="39" t="n">
        <v>45596</v>
      </c>
      <c r="B514" s="40" t="n">
        <v>20433.3</v>
      </c>
      <c r="C514" s="40" t="n">
        <v>5817.77</v>
      </c>
      <c r="D514" s="40" t="n">
        <v>37.38</v>
      </c>
      <c r="E514" s="40" t="n">
        <v>146.31</v>
      </c>
      <c r="F514" s="40" t="n"/>
      <c r="G514" s="40" t="n">
        <v>16.5</v>
      </c>
      <c r="H514" s="40" t="n">
        <v>20.92</v>
      </c>
      <c r="I514" s="41" t="n">
        <v>305</v>
      </c>
      <c r="J514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514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514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514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514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514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514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514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514" s="43">
        <f>(Dashboard!$C$13*tblHistory[[#This Row],[NDX S]]+Dashboard!$C$14*tblHistory[[#This Row],[SOX S]]+Dashboard!$C$15*tblHistory[[#This Row],[AIQ S]])/SUM(Dashboard!$C$13:$C$15)*100</f>
        <v/>
      </c>
      <c r="S514" s="43">
        <f>(Dashboard!$C$16*tblHistory[[#This Row],[ORCL S]]+Dashboard!$C$17*tblHistory[[#This Row],[CRWV S]])/SUM(Dashboard!$C$16:$C$17)*100</f>
        <v/>
      </c>
      <c r="T514" s="43">
        <f>(Dashboard!$C$18*tblHistory[[#This Row],[BIZD S]]+Dashboard!$C$19*tblHistory[[#This Row],[BKLN S]]+Dashboard!$C$20*tblHistory[[#This Row],[HY S]])/SUM(Dashboard!$C$18:$C$20)*100</f>
        <v/>
      </c>
      <c r="U514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514" s="43">
        <f>IFERROR(--(tblHistory[[#This Row],[Score]]&gt;=50),0)</f>
        <v/>
      </c>
      <c r="W514" s="43">
        <f>IFERROR(--AND(tblHistory[[#This Row],[Score]]&gt;=60,tblHistory[[#This Row],[BIZD S]]&gt;=0.8,tblHistory[[#This Row],[BKLN S]]&gt;=0.5),0)</f>
        <v/>
      </c>
      <c r="X514" s="43">
        <f>IFERROR(--AND(tblHistory[[#This Row],[Score]]&gt;=70,tblHistory[[#This Row],[SOX S]]&gt;=0.83,tblHistory[[#This Row],[AIQ S]]&gt;=0.8),0)</f>
        <v/>
      </c>
      <c r="Y514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514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514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514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514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515">
      <c r="A515" s="39" t="n">
        <v>45595</v>
      </c>
      <c r="B515" s="40" t="n">
        <v>20833.43</v>
      </c>
      <c r="C515" s="40" t="n">
        <v>5927.15</v>
      </c>
      <c r="D515" s="40" t="n">
        <v>37.2</v>
      </c>
      <c r="E515" s="40" t="n">
        <v>151.58</v>
      </c>
      <c r="F515" s="40" t="n"/>
      <c r="G515" s="40" t="n">
        <v>16.39</v>
      </c>
      <c r="H515" s="40" t="n">
        <v>20.92</v>
      </c>
      <c r="I515" s="41" t="n">
        <v>298</v>
      </c>
      <c r="J515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515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515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515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515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515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515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515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515" s="43">
        <f>(Dashboard!$C$13*tblHistory[[#This Row],[NDX S]]+Dashboard!$C$14*tblHistory[[#This Row],[SOX S]]+Dashboard!$C$15*tblHistory[[#This Row],[AIQ S]])/SUM(Dashboard!$C$13:$C$15)*100</f>
        <v/>
      </c>
      <c r="S515" s="43">
        <f>(Dashboard!$C$16*tblHistory[[#This Row],[ORCL S]]+Dashboard!$C$17*tblHistory[[#This Row],[CRWV S]])/SUM(Dashboard!$C$16:$C$17)*100</f>
        <v/>
      </c>
      <c r="T515" s="43">
        <f>(Dashboard!$C$18*tblHistory[[#This Row],[BIZD S]]+Dashboard!$C$19*tblHistory[[#This Row],[BKLN S]]+Dashboard!$C$20*tblHistory[[#This Row],[HY S]])/SUM(Dashboard!$C$18:$C$20)*100</f>
        <v/>
      </c>
      <c r="U515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515" s="43">
        <f>IFERROR(--(tblHistory[[#This Row],[Score]]&gt;=50),0)</f>
        <v/>
      </c>
      <c r="W515" s="43">
        <f>IFERROR(--AND(tblHistory[[#This Row],[Score]]&gt;=60,tblHistory[[#This Row],[BIZD S]]&gt;=0.8,tblHistory[[#This Row],[BKLN S]]&gt;=0.5),0)</f>
        <v/>
      </c>
      <c r="X515" s="43">
        <f>IFERROR(--AND(tblHistory[[#This Row],[Score]]&gt;=70,tblHistory[[#This Row],[SOX S]]&gt;=0.83,tblHistory[[#This Row],[AIQ S]]&gt;=0.8),0)</f>
        <v/>
      </c>
      <c r="Y515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515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515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515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515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516">
      <c r="A516" s="39" t="n">
        <v>45594</v>
      </c>
      <c r="B516" s="40" t="n">
        <v>20774.68</v>
      </c>
      <c r="C516" s="40" t="n">
        <v>5791.54</v>
      </c>
      <c r="D516" s="40" t="n">
        <v>37.33</v>
      </c>
      <c r="E516" s="40" t="n">
        <v>155.97</v>
      </c>
      <c r="F516" s="40" t="n"/>
      <c r="G516" s="40" t="n">
        <v>16.67</v>
      </c>
      <c r="H516" s="40" t="n">
        <v>20.95</v>
      </c>
      <c r="I516" s="41" t="n">
        <v>293</v>
      </c>
      <c r="J516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516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516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516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516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516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516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516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516" s="43">
        <f>(Dashboard!$C$13*tblHistory[[#This Row],[NDX S]]+Dashboard!$C$14*tblHistory[[#This Row],[SOX S]]+Dashboard!$C$15*tblHistory[[#This Row],[AIQ S]])/SUM(Dashboard!$C$13:$C$15)*100</f>
        <v/>
      </c>
      <c r="S516" s="43">
        <f>(Dashboard!$C$16*tblHistory[[#This Row],[ORCL S]]+Dashboard!$C$17*tblHistory[[#This Row],[CRWV S]])/SUM(Dashboard!$C$16:$C$17)*100</f>
        <v/>
      </c>
      <c r="T516" s="43">
        <f>(Dashboard!$C$18*tblHistory[[#This Row],[BIZD S]]+Dashboard!$C$19*tblHistory[[#This Row],[BKLN S]]+Dashboard!$C$20*tblHistory[[#This Row],[HY S]])/SUM(Dashboard!$C$18:$C$20)*100</f>
        <v/>
      </c>
      <c r="U516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516" s="43">
        <f>IFERROR(--(tblHistory[[#This Row],[Score]]&gt;=50),0)</f>
        <v/>
      </c>
      <c r="W516" s="43">
        <f>IFERROR(--AND(tblHistory[[#This Row],[Score]]&gt;=60,tblHistory[[#This Row],[BIZD S]]&gt;=0.8,tblHistory[[#This Row],[BKLN S]]&gt;=0.5),0)</f>
        <v/>
      </c>
      <c r="X516" s="43">
        <f>IFERROR(--AND(tblHistory[[#This Row],[Score]]&gt;=70,tblHistory[[#This Row],[SOX S]]&gt;=0.83,tblHistory[[#This Row],[AIQ S]]&gt;=0.8),0)</f>
        <v/>
      </c>
      <c r="Y516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516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516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516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516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517">
      <c r="A517" s="39" t="n">
        <v>45593</v>
      </c>
      <c r="B517" s="40" t="n">
        <v>20664.09</v>
      </c>
      <c r="C517" s="40" t="n">
        <v>5907.26</v>
      </c>
      <c r="D517" s="40" t="n">
        <v>37.32</v>
      </c>
      <c r="E517" s="40" t="n">
        <v>152.87</v>
      </c>
      <c r="F517" s="40" t="n"/>
      <c r="G517" s="40" t="n">
        <v>16.74</v>
      </c>
      <c r="H517" s="40" t="n">
        <v>20.98</v>
      </c>
      <c r="I517" s="41" t="n">
        <v>295</v>
      </c>
      <c r="J517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517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517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517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517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517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517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517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517" s="43">
        <f>(Dashboard!$C$13*tblHistory[[#This Row],[NDX S]]+Dashboard!$C$14*tblHistory[[#This Row],[SOX S]]+Dashboard!$C$15*tblHistory[[#This Row],[AIQ S]])/SUM(Dashboard!$C$13:$C$15)*100</f>
        <v/>
      </c>
      <c r="S517" s="43">
        <f>(Dashboard!$C$16*tblHistory[[#This Row],[ORCL S]]+Dashboard!$C$17*tblHistory[[#This Row],[CRWV S]])/SUM(Dashboard!$C$16:$C$17)*100</f>
        <v/>
      </c>
      <c r="T517" s="43">
        <f>(Dashboard!$C$18*tblHistory[[#This Row],[BIZD S]]+Dashboard!$C$19*tblHistory[[#This Row],[BKLN S]]+Dashboard!$C$20*tblHistory[[#This Row],[HY S]])/SUM(Dashboard!$C$18:$C$20)*100</f>
        <v/>
      </c>
      <c r="U517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517" s="43">
        <f>IFERROR(--(tblHistory[[#This Row],[Score]]&gt;=50),0)</f>
        <v/>
      </c>
      <c r="W517" s="43">
        <f>IFERROR(--AND(tblHistory[[#This Row],[Score]]&gt;=60,tblHistory[[#This Row],[BIZD S]]&gt;=0.8,tblHistory[[#This Row],[BKLN S]]&gt;=0.5),0)</f>
        <v/>
      </c>
      <c r="X517" s="43">
        <f>IFERROR(--AND(tblHistory[[#This Row],[Score]]&gt;=70,tblHistory[[#This Row],[SOX S]]&gt;=0.83,tblHistory[[#This Row],[AIQ S]]&gt;=0.8),0)</f>
        <v/>
      </c>
      <c r="Y517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517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517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517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517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518">
      <c r="A518" s="39" t="n">
        <v>45590</v>
      </c>
      <c r="B518" s="40" t="n">
        <v>20590.11</v>
      </c>
      <c r="C518" s="40" t="n">
        <v>5846.3</v>
      </c>
      <c r="D518" s="40" t="n">
        <v>37.19</v>
      </c>
      <c r="E518" s="40" t="n">
        <v>154.1</v>
      </c>
      <c r="F518" s="40" t="n"/>
      <c r="G518" s="40" t="n">
        <v>16.76</v>
      </c>
      <c r="H518" s="40" t="n">
        <v>21.01</v>
      </c>
      <c r="I518" s="41" t="n">
        <v>283</v>
      </c>
      <c r="J518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518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518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518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518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518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518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518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518" s="43">
        <f>(Dashboard!$C$13*tblHistory[[#This Row],[NDX S]]+Dashboard!$C$14*tblHistory[[#This Row],[SOX S]]+Dashboard!$C$15*tblHistory[[#This Row],[AIQ S]])/SUM(Dashboard!$C$13:$C$15)*100</f>
        <v/>
      </c>
      <c r="S518" s="43">
        <f>(Dashboard!$C$16*tblHistory[[#This Row],[ORCL S]]+Dashboard!$C$17*tblHistory[[#This Row],[CRWV S]])/SUM(Dashboard!$C$16:$C$17)*100</f>
        <v/>
      </c>
      <c r="T518" s="43">
        <f>(Dashboard!$C$18*tblHistory[[#This Row],[BIZD S]]+Dashboard!$C$19*tblHistory[[#This Row],[BKLN S]]+Dashboard!$C$20*tblHistory[[#This Row],[HY S]])/SUM(Dashboard!$C$18:$C$20)*100</f>
        <v/>
      </c>
      <c r="U518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518" s="43">
        <f>IFERROR(--(tblHistory[[#This Row],[Score]]&gt;=50),0)</f>
        <v/>
      </c>
      <c r="W518" s="43">
        <f>IFERROR(--AND(tblHistory[[#This Row],[Score]]&gt;=60,tblHistory[[#This Row],[BIZD S]]&gt;=0.8,tblHistory[[#This Row],[BKLN S]]&gt;=0.5),0)</f>
        <v/>
      </c>
      <c r="X518" s="43">
        <f>IFERROR(--AND(tblHistory[[#This Row],[Score]]&gt;=70,tblHistory[[#This Row],[SOX S]]&gt;=0.83,tblHistory[[#This Row],[AIQ S]]&gt;=0.8),0)</f>
        <v/>
      </c>
      <c r="Y518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518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518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518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518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519">
      <c r="A519" s="39" t="n">
        <v>45589</v>
      </c>
      <c r="B519" s="40" t="n">
        <v>20323.3</v>
      </c>
      <c r="C519" s="40" t="n">
        <v>5859.56</v>
      </c>
      <c r="D519" s="40" t="n">
        <v>37.45</v>
      </c>
      <c r="E519" s="40" t="n">
        <v>150.96</v>
      </c>
      <c r="F519" s="40" t="n"/>
      <c r="G519" s="40" t="n">
        <v>16.78</v>
      </c>
      <c r="H519" s="40" t="n">
        <v>21.02</v>
      </c>
      <c r="I519" s="41" t="n">
        <v>290</v>
      </c>
      <c r="J519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519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519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519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519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519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519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519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519" s="43">
        <f>(Dashboard!$C$13*tblHistory[[#This Row],[NDX S]]+Dashboard!$C$14*tblHistory[[#This Row],[SOX S]]+Dashboard!$C$15*tblHistory[[#This Row],[AIQ S]])/SUM(Dashboard!$C$13:$C$15)*100</f>
        <v/>
      </c>
      <c r="S519" s="43">
        <f>(Dashboard!$C$16*tblHistory[[#This Row],[ORCL S]]+Dashboard!$C$17*tblHistory[[#This Row],[CRWV S]])/SUM(Dashboard!$C$16:$C$17)*100</f>
        <v/>
      </c>
      <c r="T519" s="43">
        <f>(Dashboard!$C$18*tblHistory[[#This Row],[BIZD S]]+Dashboard!$C$19*tblHistory[[#This Row],[BKLN S]]+Dashboard!$C$20*tblHistory[[#This Row],[HY S]])/SUM(Dashboard!$C$18:$C$20)*100</f>
        <v/>
      </c>
      <c r="U519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519" s="43">
        <f>IFERROR(--(tblHistory[[#This Row],[Score]]&gt;=50),0)</f>
        <v/>
      </c>
      <c r="W519" s="43">
        <f>IFERROR(--AND(tblHistory[[#This Row],[Score]]&gt;=60,tblHistory[[#This Row],[BIZD S]]&gt;=0.8,tblHistory[[#This Row],[BKLN S]]&gt;=0.5),0)</f>
        <v/>
      </c>
      <c r="X519" s="43">
        <f>IFERROR(--AND(tblHistory[[#This Row],[Score]]&gt;=70,tblHistory[[#This Row],[SOX S]]&gt;=0.83,tblHistory[[#This Row],[AIQ S]]&gt;=0.8),0)</f>
        <v/>
      </c>
      <c r="Y519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519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519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519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519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520">
      <c r="A520" s="39" t="n">
        <v>45588</v>
      </c>
      <c r="B520" s="40" t="n">
        <v>20208</v>
      </c>
      <c r="C520" s="40" t="n">
        <v>5798.98</v>
      </c>
      <c r="D520" s="40" t="n">
        <v>36.79</v>
      </c>
      <c r="E520" s="40" t="n">
        <v>151.85</v>
      </c>
      <c r="F520" s="40" t="n"/>
      <c r="G520" s="40" t="n">
        <v>16.82</v>
      </c>
      <c r="H520" s="40" t="n">
        <v>21.03</v>
      </c>
      <c r="I520" s="41" t="n">
        <v>296</v>
      </c>
      <c r="J520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520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520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520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520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520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520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520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520" s="43">
        <f>(Dashboard!$C$13*tblHistory[[#This Row],[NDX S]]+Dashboard!$C$14*tblHistory[[#This Row],[SOX S]]+Dashboard!$C$15*tblHistory[[#This Row],[AIQ S]])/SUM(Dashboard!$C$13:$C$15)*100</f>
        <v/>
      </c>
      <c r="S520" s="43">
        <f>(Dashboard!$C$16*tblHistory[[#This Row],[ORCL S]]+Dashboard!$C$17*tblHistory[[#This Row],[CRWV S]])/SUM(Dashboard!$C$16:$C$17)*100</f>
        <v/>
      </c>
      <c r="T520" s="43">
        <f>(Dashboard!$C$18*tblHistory[[#This Row],[BIZD S]]+Dashboard!$C$19*tblHistory[[#This Row],[BKLN S]]+Dashboard!$C$20*tblHistory[[#This Row],[HY S]])/SUM(Dashboard!$C$18:$C$20)*100</f>
        <v/>
      </c>
      <c r="U520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520" s="43">
        <f>IFERROR(--(tblHistory[[#This Row],[Score]]&gt;=50),0)</f>
        <v/>
      </c>
      <c r="W520" s="43">
        <f>IFERROR(--AND(tblHistory[[#This Row],[Score]]&gt;=60,tblHistory[[#This Row],[BIZD S]]&gt;=0.8,tblHistory[[#This Row],[BKLN S]]&gt;=0.5),0)</f>
        <v/>
      </c>
      <c r="X520" s="43">
        <f>IFERROR(--AND(tblHistory[[#This Row],[Score]]&gt;=70,tblHistory[[#This Row],[SOX S]]&gt;=0.83,tblHistory[[#This Row],[AIQ S]]&gt;=0.8),0)</f>
        <v/>
      </c>
      <c r="Y520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520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520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520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520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521">
      <c r="A521" s="39" t="n">
        <v>45587</v>
      </c>
      <c r="B521" s="40" t="n">
        <v>19928.19</v>
      </c>
      <c r="C521" s="40" t="n">
        <v>5691.55</v>
      </c>
      <c r="D521" s="40" t="n">
        <v>37.29</v>
      </c>
      <c r="E521" s="40" t="n">
        <v>152.63</v>
      </c>
      <c r="F521" s="40" t="n"/>
      <c r="G521" s="40" t="n">
        <v>16.74</v>
      </c>
      <c r="H521" s="40" t="n">
        <v>21.08</v>
      </c>
      <c r="I521" s="41" t="n">
        <v>287</v>
      </c>
      <c r="J521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521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521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521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521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521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521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521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521" s="43">
        <f>(Dashboard!$C$13*tblHistory[[#This Row],[NDX S]]+Dashboard!$C$14*tblHistory[[#This Row],[SOX S]]+Dashboard!$C$15*tblHistory[[#This Row],[AIQ S]])/SUM(Dashboard!$C$13:$C$15)*100</f>
        <v/>
      </c>
      <c r="S521" s="43">
        <f>(Dashboard!$C$16*tblHistory[[#This Row],[ORCL S]]+Dashboard!$C$17*tblHistory[[#This Row],[CRWV S]])/SUM(Dashboard!$C$16:$C$17)*100</f>
        <v/>
      </c>
      <c r="T521" s="43">
        <f>(Dashboard!$C$18*tblHistory[[#This Row],[BIZD S]]+Dashboard!$C$19*tblHistory[[#This Row],[BKLN S]]+Dashboard!$C$20*tblHistory[[#This Row],[HY S]])/SUM(Dashboard!$C$18:$C$20)*100</f>
        <v/>
      </c>
      <c r="U521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521" s="43">
        <f>IFERROR(--(tblHistory[[#This Row],[Score]]&gt;=50),0)</f>
        <v/>
      </c>
      <c r="W521" s="43">
        <f>IFERROR(--AND(tblHistory[[#This Row],[Score]]&gt;=60,tblHistory[[#This Row],[BIZD S]]&gt;=0.8,tblHistory[[#This Row],[BKLN S]]&gt;=0.5),0)</f>
        <v/>
      </c>
      <c r="X521" s="43">
        <f>IFERROR(--AND(tblHistory[[#This Row],[Score]]&gt;=70,tblHistory[[#This Row],[SOX S]]&gt;=0.83,tblHistory[[#This Row],[AIQ S]]&gt;=0.8),0)</f>
        <v/>
      </c>
      <c r="Y521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521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521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521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521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522">
      <c r="A522" s="39" t="n">
        <v>45586</v>
      </c>
      <c r="B522" s="40" t="n">
        <v>19967.28</v>
      </c>
      <c r="C522" s="40" t="n">
        <v>5605.34</v>
      </c>
      <c r="D522" s="40" t="n">
        <v>37.31</v>
      </c>
      <c r="E522" s="40" t="n">
        <v>154.7</v>
      </c>
      <c r="F522" s="40" t="n"/>
      <c r="G522" s="40" t="n">
        <v>16.68</v>
      </c>
      <c r="H522" s="40" t="n">
        <v>21.12</v>
      </c>
      <c r="I522" s="41" t="n">
        <v>287</v>
      </c>
      <c r="J522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522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522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522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522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522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522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522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522" s="43">
        <f>(Dashboard!$C$13*tblHistory[[#This Row],[NDX S]]+Dashboard!$C$14*tblHistory[[#This Row],[SOX S]]+Dashboard!$C$15*tblHistory[[#This Row],[AIQ S]])/SUM(Dashboard!$C$13:$C$15)*100</f>
        <v/>
      </c>
      <c r="S522" s="43">
        <f>(Dashboard!$C$16*tblHistory[[#This Row],[ORCL S]]+Dashboard!$C$17*tblHistory[[#This Row],[CRWV S]])/SUM(Dashboard!$C$16:$C$17)*100</f>
        <v/>
      </c>
      <c r="T522" s="43">
        <f>(Dashboard!$C$18*tblHistory[[#This Row],[BIZD S]]+Dashboard!$C$19*tblHistory[[#This Row],[BKLN S]]+Dashboard!$C$20*tblHistory[[#This Row],[HY S]])/SUM(Dashboard!$C$18:$C$20)*100</f>
        <v/>
      </c>
      <c r="U522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522" s="43">
        <f>IFERROR(--(tblHistory[[#This Row],[Score]]&gt;=50),0)</f>
        <v/>
      </c>
      <c r="W522" s="43">
        <f>IFERROR(--AND(tblHistory[[#This Row],[Score]]&gt;=60,tblHistory[[#This Row],[BIZD S]]&gt;=0.8,tblHistory[[#This Row],[BKLN S]]&gt;=0.5),0)</f>
        <v/>
      </c>
      <c r="X522" s="43">
        <f>IFERROR(--AND(tblHistory[[#This Row],[Score]]&gt;=70,tblHistory[[#This Row],[SOX S]]&gt;=0.83,tblHistory[[#This Row],[AIQ S]]&gt;=0.8),0)</f>
        <v/>
      </c>
      <c r="Y522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522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522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522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522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523">
      <c r="A523" s="39" t="n">
        <v>45583</v>
      </c>
      <c r="B523" s="40" t="n">
        <v>20179.26</v>
      </c>
      <c r="C523" s="40" t="n">
        <v>5466.85</v>
      </c>
      <c r="D523" s="40" t="n">
        <v>36.66</v>
      </c>
      <c r="E523" s="40" t="n">
        <v>159.53</v>
      </c>
      <c r="F523" s="40" t="n"/>
      <c r="G523" s="40" t="n">
        <v>16.68</v>
      </c>
      <c r="H523" s="40" t="n">
        <v>21.12</v>
      </c>
      <c r="I523" s="41" t="n">
        <v>294</v>
      </c>
      <c r="J523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523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523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523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523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523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523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523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523" s="43">
        <f>(Dashboard!$C$13*tblHistory[[#This Row],[NDX S]]+Dashboard!$C$14*tblHistory[[#This Row],[SOX S]]+Dashboard!$C$15*tblHistory[[#This Row],[AIQ S]])/SUM(Dashboard!$C$13:$C$15)*100</f>
        <v/>
      </c>
      <c r="S523" s="43">
        <f>(Dashboard!$C$16*tblHistory[[#This Row],[ORCL S]]+Dashboard!$C$17*tblHistory[[#This Row],[CRWV S]])/SUM(Dashboard!$C$16:$C$17)*100</f>
        <v/>
      </c>
      <c r="T523" s="43">
        <f>(Dashboard!$C$18*tblHistory[[#This Row],[BIZD S]]+Dashboard!$C$19*tblHistory[[#This Row],[BKLN S]]+Dashboard!$C$20*tblHistory[[#This Row],[HY S]])/SUM(Dashboard!$C$18:$C$20)*100</f>
        <v/>
      </c>
      <c r="U523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523" s="43">
        <f>IFERROR(--(tblHistory[[#This Row],[Score]]&gt;=50),0)</f>
        <v/>
      </c>
      <c r="W523" s="43">
        <f>IFERROR(--AND(tblHistory[[#This Row],[Score]]&gt;=60,tblHistory[[#This Row],[BIZD S]]&gt;=0.8,tblHistory[[#This Row],[BKLN S]]&gt;=0.5),0)</f>
        <v/>
      </c>
      <c r="X523" s="43">
        <f>IFERROR(--AND(tblHistory[[#This Row],[Score]]&gt;=70,tblHistory[[#This Row],[SOX S]]&gt;=0.83,tblHistory[[#This Row],[AIQ S]]&gt;=0.8),0)</f>
        <v/>
      </c>
      <c r="Y523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523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523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523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523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524">
      <c r="A524" s="39" t="n">
        <v>45582</v>
      </c>
      <c r="B524" s="40" t="n">
        <v>20243.55</v>
      </c>
      <c r="C524" s="40" t="n">
        <v>5429.65</v>
      </c>
      <c r="D524" s="40" t="n">
        <v>36.99</v>
      </c>
      <c r="E524" s="40" t="n">
        <v>156.95</v>
      </c>
      <c r="F524" s="40" t="n"/>
      <c r="G524" s="40" t="n">
        <v>16.81</v>
      </c>
      <c r="H524" s="40" t="n">
        <v>21.16</v>
      </c>
      <c r="I524" s="41" t="n">
        <v>294</v>
      </c>
      <c r="J524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524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524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524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524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524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524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524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524" s="43">
        <f>(Dashboard!$C$13*tblHistory[[#This Row],[NDX S]]+Dashboard!$C$14*tblHistory[[#This Row],[SOX S]]+Dashboard!$C$15*tblHistory[[#This Row],[AIQ S]])/SUM(Dashboard!$C$13:$C$15)*100</f>
        <v/>
      </c>
      <c r="S524" s="43">
        <f>(Dashboard!$C$16*tblHistory[[#This Row],[ORCL S]]+Dashboard!$C$17*tblHistory[[#This Row],[CRWV S]])/SUM(Dashboard!$C$16:$C$17)*100</f>
        <v/>
      </c>
      <c r="T524" s="43">
        <f>(Dashboard!$C$18*tblHistory[[#This Row],[BIZD S]]+Dashboard!$C$19*tblHistory[[#This Row],[BKLN S]]+Dashboard!$C$20*tblHistory[[#This Row],[HY S]])/SUM(Dashboard!$C$18:$C$20)*100</f>
        <v/>
      </c>
      <c r="U524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524" s="43">
        <f>IFERROR(--(tblHistory[[#This Row],[Score]]&gt;=50),0)</f>
        <v/>
      </c>
      <c r="W524" s="43">
        <f>IFERROR(--AND(tblHistory[[#This Row],[Score]]&gt;=60,tblHistory[[#This Row],[BIZD S]]&gt;=0.8,tblHistory[[#This Row],[BKLN S]]&gt;=0.5),0)</f>
        <v/>
      </c>
      <c r="X524" s="43">
        <f>IFERROR(--AND(tblHistory[[#This Row],[Score]]&gt;=70,tblHistory[[#This Row],[SOX S]]&gt;=0.83,tblHistory[[#This Row],[AIQ S]]&gt;=0.8),0)</f>
        <v/>
      </c>
      <c r="Y524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524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524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524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524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525">
      <c r="A525" s="39" t="n">
        <v>45581</v>
      </c>
      <c r="B525" s="40" t="n">
        <v>20286.37</v>
      </c>
      <c r="C525" s="40" t="n">
        <v>5190.25</v>
      </c>
      <c r="D525" s="40" t="n">
        <v>36.86</v>
      </c>
      <c r="E525" s="40" t="n">
        <v>159.34</v>
      </c>
      <c r="F525" s="40" t="n"/>
      <c r="G525" s="40" t="n">
        <v>16.97</v>
      </c>
      <c r="H525" s="40" t="n">
        <v>21.16</v>
      </c>
      <c r="I525" s="41" t="n">
        <v>297</v>
      </c>
      <c r="J525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525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525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525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525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525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525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525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525" s="43">
        <f>(Dashboard!$C$13*tblHistory[[#This Row],[NDX S]]+Dashboard!$C$14*tblHistory[[#This Row],[SOX S]]+Dashboard!$C$15*tblHistory[[#This Row],[AIQ S]])/SUM(Dashboard!$C$13:$C$15)*100</f>
        <v/>
      </c>
      <c r="S525" s="43">
        <f>(Dashboard!$C$16*tblHistory[[#This Row],[ORCL S]]+Dashboard!$C$17*tblHistory[[#This Row],[CRWV S]])/SUM(Dashboard!$C$16:$C$17)*100</f>
        <v/>
      </c>
      <c r="T525" s="43">
        <f>(Dashboard!$C$18*tblHistory[[#This Row],[BIZD S]]+Dashboard!$C$19*tblHistory[[#This Row],[BKLN S]]+Dashboard!$C$20*tblHistory[[#This Row],[HY S]])/SUM(Dashboard!$C$18:$C$20)*100</f>
        <v/>
      </c>
      <c r="U525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525" s="43">
        <f>IFERROR(--(tblHistory[[#This Row],[Score]]&gt;=50),0)</f>
        <v/>
      </c>
      <c r="W525" s="43">
        <f>IFERROR(--AND(tblHistory[[#This Row],[Score]]&gt;=60,tblHistory[[#This Row],[BIZD S]]&gt;=0.8,tblHistory[[#This Row],[BKLN S]]&gt;=0.5),0)</f>
        <v/>
      </c>
      <c r="X525" s="43">
        <f>IFERROR(--AND(tblHistory[[#This Row],[Score]]&gt;=70,tblHistory[[#This Row],[SOX S]]&gt;=0.83,tblHistory[[#This Row],[AIQ S]]&gt;=0.8),0)</f>
        <v/>
      </c>
      <c r="Y525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525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525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525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525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526">
      <c r="A526" s="39" t="n">
        <v>45580</v>
      </c>
      <c r="B526" s="40" t="n">
        <v>20150.16</v>
      </c>
      <c r="C526" s="40" t="n">
        <v>5127.58</v>
      </c>
      <c r="D526" s="40" t="n">
        <v>37.19</v>
      </c>
      <c r="E526" s="40" t="n">
        <v>160.93</v>
      </c>
      <c r="F526" s="40" t="n"/>
      <c r="G526" s="40" t="n">
        <v>16.73</v>
      </c>
      <c r="H526" s="40" t="n">
        <v>21.11</v>
      </c>
      <c r="I526" s="41" t="n">
        <v>305</v>
      </c>
      <c r="J526" s="42">
        <f>IF(tblHistory[[#This Row],[Date]]-MIN(tblHistory[Date])&lt;364,NA(),IF(ISNUMBER(tblHistory[[#This Row],[NDX]]),MIN(1,MAX(0,((tblHistory[[#This Row],[NDX]]/_xlfn.MAXIFS(tblHistory[NDX],tblHistory[Date],"&lt;="&amp;tblHistory[[#This Row],[Date]],tblHistory[Date],"&gt;="&amp;tblHistory[[#This Row],[Date]]-365)-1)-Dashboard!$G$13)/(Dashboard!$H$13-Dashboard!$G$13))),0))</f>
        <v/>
      </c>
      <c r="K526" s="42">
        <f>IF(tblHistory[[#This Row],[Date]]-MIN(tblHistory[Date])&lt;364,NA(),IF(ISNUMBER(tblHistory[[#This Row],[SOX]]),MIN(1,MAX(0,((tblHistory[[#This Row],[SOX]]/_xlfn.MAXIFS(tblHistory[SOX],tblHistory[Date],"&lt;="&amp;tblHistory[[#This Row],[Date]],tblHistory[Date],"&gt;="&amp;tblHistory[[#This Row],[Date]]-365)-1)-Dashboard!$G$14)/(Dashboard!$H$14-Dashboard!$G$14))),0))</f>
        <v/>
      </c>
      <c r="L526" s="42">
        <f>IF(tblHistory[[#This Row],[Date]]-MIN(tblHistory[Date])&lt;364,NA(),IF(ISNUMBER(tblHistory[[#This Row],[AIQ]]),MIN(1,MAX(0,((tblHistory[[#This Row],[AIQ]]/_xlfn.MAXIFS(tblHistory[AIQ],tblHistory[Date],"&lt;="&amp;tblHistory[[#This Row],[Date]],tblHistory[Date],"&gt;="&amp;tblHistory[[#This Row],[Date]]-365)-1)-Dashboard!$G$15)/(Dashboard!$H$15-Dashboard!$G$15))),0))</f>
        <v/>
      </c>
      <c r="M526" s="42">
        <f>IF(tblHistory[[#This Row],[Date]]-MIN(tblHistory[Date])&lt;364,NA(),IF(ISNUMBER(tblHistory[[#This Row],[ORCL]]),MIN(1,MAX(0,((tblHistory[[#This Row],[ORCL]]/_xlfn.MAXIFS(tblHistory[ORCL],tblHistory[Date],"&lt;="&amp;tblHistory[[#This Row],[Date]],tblHistory[Date],"&gt;="&amp;tblHistory[[#This Row],[Date]]-365)-1)-Dashboard!$G$16)/(Dashboard!$H$16-Dashboard!$G$16))),0))</f>
        <v/>
      </c>
      <c r="N526" s="42">
        <f>IF(tblHistory[[#This Row],[Date]]-MIN(tblHistory[Date])&lt;364,NA(),IF(ISNUMBER(tblHistory[[#This Row],[CRWV]]),MIN(1,MAX(0,((tblHistory[[#This Row],[CRWV]]/_xlfn.MAXIFS(tblHistory[CRWV],tblHistory[Date],"&lt;="&amp;tblHistory[[#This Row],[Date]],tblHistory[Date],"&gt;="&amp;tblHistory[[#This Row],[Date]]-365)-1)-Dashboard!$G$17)/(Dashboard!$H$17-Dashboard!$G$17))),0))</f>
        <v/>
      </c>
      <c r="O526" s="42">
        <f>IF(tblHistory[[#This Row],[Date]]-MIN(tblHistory[Date])&lt;364,NA(),IF(ISNUMBER(tblHistory[[#This Row],[BIZD]]),MIN(1,MAX(0,((tblHistory[[#This Row],[BIZD]]/_xlfn.MAXIFS(tblHistory[BIZD],tblHistory[Date],"&lt;="&amp;tblHistory[[#This Row],[Date]],tblHistory[Date],"&gt;="&amp;tblHistory[[#This Row],[Date]]-365)-1)-Dashboard!$G$18)/(Dashboard!$H$18-Dashboard!$G$18))),0))</f>
        <v/>
      </c>
      <c r="P526" s="42">
        <f>IF(tblHistory[[#This Row],[Date]]-MIN(tblHistory[Date])&lt;364,NA(),IF(ISNUMBER(tblHistory[[#This Row],[BKLN]]),MIN(1,MAX(0,((tblHistory[[#This Row],[BKLN]]/_xlfn.MAXIFS(tblHistory[BKLN],tblHistory[Date],"&lt;="&amp;tblHistory[[#This Row],[Date]],tblHistory[Date],"&gt;="&amp;tblHistory[[#This Row],[Date]]-365)-1)-Dashboard!$G$19)/(Dashboard!$H$19-Dashboard!$G$19))),0))</f>
        <v/>
      </c>
      <c r="Q526" s="42">
        <f>IF(tblHistory[[#This Row],[Date]]-MIN(tblHistory[Date])&lt;364,NA(),MIN(1,MAX(0,(IF(ISNUMBER(tblHistory[[#This Row],[HY]]),tblHistory[[#This Row],[HY]],SUMIFS(tblHistory[HY],tblHistory[Date],_xlfn.MAXIFS(tblHistory[Date],tblHistory[Date],"&lt;"&amp;tblHistory[[#This Row],[Date]],tblHistory[HY],"&lt;&gt;")))-Dashboard!$G$20)/(Dashboard!$H$20-Dashboard!$G$20))))</f>
        <v/>
      </c>
      <c r="R526" s="43">
        <f>(Dashboard!$C$13*tblHistory[[#This Row],[NDX S]]+Dashboard!$C$14*tblHistory[[#This Row],[SOX S]]+Dashboard!$C$15*tblHistory[[#This Row],[AIQ S]])/SUM(Dashboard!$C$13:$C$15)*100</f>
        <v/>
      </c>
      <c r="S526" s="43">
        <f>(Dashboard!$C$16*tblHistory[[#This Row],[ORCL S]]+Dashboard!$C$17*tblHistory[[#This Row],[CRWV S]])/SUM(Dashboard!$C$16:$C$17)*100</f>
        <v/>
      </c>
      <c r="T526" s="43">
        <f>(Dashboard!$C$18*tblHistory[[#This Row],[BIZD S]]+Dashboard!$C$19*tblHistory[[#This Row],[BKLN S]]+Dashboard!$C$20*tblHistory[[#This Row],[HY S]])/SUM(Dashboard!$C$18:$C$20)*100</f>
        <v/>
      </c>
      <c r="U526" s="43">
        <f>ROUND((Dashboard!$C$13*tblHistory[[#This Row],[NDX S]]+Dashboard!$C$14*tblHistory[[#This Row],[SOX S]]+Dashboard!$C$15*tblHistory[[#This Row],[AIQ S]]+Dashboard!$C$16*tblHistory[[#This Row],[ORCL S]]+Dashboard!$C$17*tblHistory[[#This Row],[CRWV S]]+Dashboard!$C$18*tblHistory[[#This Row],[BIZD S]]+Dashboard!$C$19*tblHistory[[#This Row],[BKLN S]]+Dashboard!$C$20*tblHistory[[#This Row],[HY S]])/SUM(Dashboard!$C$13:$C$20)*100,0)</f>
        <v/>
      </c>
      <c r="V526" s="43">
        <f>IFERROR(--(tblHistory[[#This Row],[Score]]&gt;=50),0)</f>
        <v/>
      </c>
      <c r="W526" s="43">
        <f>IFERROR(--AND(tblHistory[[#This Row],[Score]]&gt;=60,tblHistory[[#This Row],[BIZD S]]&gt;=0.8,tblHistory[[#This Row],[BKLN S]]&gt;=0.5),0)</f>
        <v/>
      </c>
      <c r="X526" s="43">
        <f>IFERROR(--AND(tblHistory[[#This Row],[Score]]&gt;=70,tblHistory[[#This Row],[SOX S]]&gt;=0.83,tblHistory[[#This Row],[AIQ S]]&gt;=0.8),0)</f>
        <v/>
      </c>
      <c r="Y526" s="43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Z526" s="43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A526" s="43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B526" s="43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C526" s="43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63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4" max="4"/>
    <col width="12" customWidth="1" min="5" max="5"/>
    <col width="12" customWidth="1" min="7" max="7"/>
    <col width="12" customWidth="1" min="8" max="8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26" t="inlineStr">
        <is>
          <t>Factor</t>
        </is>
      </c>
      <c r="B1" t="inlineStr">
        <is>
          <t>Stress</t>
        </is>
      </c>
      <c r="D1" t="inlineStr">
        <is>
          <t>Gauge</t>
        </is>
      </c>
      <c r="E1" t="inlineStr">
        <is>
          <t>Value</t>
        </is>
      </c>
      <c r="G1" t="inlineStr">
        <is>
          <t>Week ending (Fri)</t>
        </is>
      </c>
      <c r="H1" t="inlineStr">
        <is>
          <t>Weekly high score</t>
        </is>
      </c>
      <c r="J1" t="inlineStr">
        <is>
          <t>Date</t>
        </is>
      </c>
      <c r="K1" t="inlineStr">
        <is>
          <t>EquityP</t>
        </is>
      </c>
      <c r="L1" t="inlineStr">
        <is>
          <t>FinP</t>
        </is>
      </c>
      <c r="M1" t="inlineStr">
        <is>
          <t>CreditP</t>
        </is>
      </c>
      <c r="N1" t="inlineStr">
        <is>
          <t>Score</t>
        </is>
      </c>
    </row>
    <row r="2">
      <c r="A2" t="inlineStr">
        <is>
          <t>NDX</t>
        </is>
      </c>
      <c r="B2" s="42">
        <f>Dashboard!J13</f>
        <v/>
      </c>
      <c r="D2" t="inlineStr">
        <is>
          <t>Score</t>
        </is>
      </c>
      <c r="E2">
        <f>IFERROR(Tracker!C5,0)</f>
        <v/>
      </c>
      <c r="G2" s="44">
        <f>MAX(tblHistory[Date])-WEEKDAY(MAX(tblHistory[Date]),2)+5</f>
        <v/>
      </c>
      <c r="H2">
        <f>IF(COUNTIFS(tblHistory[Date],"&gt;="&amp;G2-6,tblHistory[Date],"&lt;="&amp;G2)=0,NA(),_xlfn.MAXIFS(tblHistory[Score],tblHistory[Date],"&gt;="&amp;G2-6,tblHistory[Date],"&lt;="&amp;G2))</f>
        <v/>
      </c>
      <c r="J2" s="45">
        <f>IFERROR(IF(INDEX(tblHistory[Date],1)&gt;MAX(tblHistory[Date])-364,INDEX(tblHistory[Date],1),""),"")</f>
        <v/>
      </c>
      <c r="K2" s="43">
        <f>IF(J2="",NA(),IFERROR(INDEX(tblHistory[EquityP],1),NA()))</f>
        <v/>
      </c>
      <c r="L2" s="43">
        <f>IF(J2="",NA(),IFERROR(INDEX(tblHistory[FinP],1),NA()))</f>
        <v/>
      </c>
      <c r="M2" s="43">
        <f>IF(J2="",NA(),IFERROR(INDEX(tblHistory[CreditP],1),NA()))</f>
        <v/>
      </c>
      <c r="N2" s="43">
        <f>IF(J2="",NA(),IFERROR(INDEX(tblHistory[Score],1),NA()))</f>
        <v/>
      </c>
    </row>
    <row r="3">
      <c r="A3" t="inlineStr">
        <is>
          <t>SOX</t>
        </is>
      </c>
      <c r="B3" s="42">
        <f>Dashboard!J14</f>
        <v/>
      </c>
      <c r="D3" t="inlineStr">
        <is>
          <t>Rest</t>
        </is>
      </c>
      <c r="E3">
        <f>100-E2</f>
        <v/>
      </c>
      <c r="G3" s="44">
        <f>G2-7</f>
        <v/>
      </c>
      <c r="H3">
        <f>IF(COUNTIFS(tblHistory[Date],"&gt;="&amp;G3-6,tblHistory[Date],"&lt;="&amp;G3)=0,NA(),_xlfn.MAXIFS(tblHistory[Score],tblHistory[Date],"&gt;="&amp;G3-6,tblHistory[Date],"&lt;="&amp;G3))</f>
        <v/>
      </c>
      <c r="J3" s="45">
        <f>IFERROR(IF(INDEX(tblHistory[Date],2)&gt;MAX(tblHistory[Date])-364,INDEX(tblHistory[Date],2),""),"")</f>
        <v/>
      </c>
      <c r="K3" s="43">
        <f>IF(J3="",NA(),IFERROR(INDEX(tblHistory[EquityP],2),NA()))</f>
        <v/>
      </c>
      <c r="L3" s="43">
        <f>IF(J3="",NA(),IFERROR(INDEX(tblHistory[FinP],2),NA()))</f>
        <v/>
      </c>
      <c r="M3" s="43">
        <f>IF(J3="",NA(),IFERROR(INDEX(tblHistory[CreditP],2),NA()))</f>
        <v/>
      </c>
      <c r="N3" s="43">
        <f>IF(J3="",NA(),IFERROR(INDEX(tblHistory[Score],2),NA()))</f>
        <v/>
      </c>
    </row>
    <row r="4">
      <c r="A4" t="inlineStr">
        <is>
          <t>AIQ</t>
        </is>
      </c>
      <c r="B4" s="42">
        <f>Dashboard!J15</f>
        <v/>
      </c>
      <c r="D4" t="inlineStr">
        <is>
          <t>Hidden</t>
        </is>
      </c>
      <c r="E4" t="n">
        <v>100</v>
      </c>
      <c r="G4" s="44">
        <f>G3-7</f>
        <v/>
      </c>
      <c r="H4">
        <f>IF(COUNTIFS(tblHistory[Date],"&gt;="&amp;G4-6,tblHistory[Date],"&lt;="&amp;G4)=0,NA(),_xlfn.MAXIFS(tblHistory[Score],tblHistory[Date],"&gt;="&amp;G4-6,tblHistory[Date],"&lt;="&amp;G4))</f>
        <v/>
      </c>
      <c r="J4" s="45">
        <f>IFERROR(IF(INDEX(tblHistory[Date],3)&gt;MAX(tblHistory[Date])-364,INDEX(tblHistory[Date],3),""),"")</f>
        <v/>
      </c>
      <c r="K4" s="43">
        <f>IF(J4="",NA(),IFERROR(INDEX(tblHistory[EquityP],3),NA()))</f>
        <v/>
      </c>
      <c r="L4" s="43">
        <f>IF(J4="",NA(),IFERROR(INDEX(tblHistory[FinP],3),NA()))</f>
        <v/>
      </c>
      <c r="M4" s="43">
        <f>IF(J4="",NA(),IFERROR(INDEX(tblHistory[CreditP],3),NA()))</f>
        <v/>
      </c>
      <c r="N4" s="43">
        <f>IF(J4="",NA(),IFERROR(INDEX(tblHistory[Score],3),NA()))</f>
        <v/>
      </c>
    </row>
    <row r="5">
      <c r="A5" t="inlineStr">
        <is>
          <t>ORCL</t>
        </is>
      </c>
      <c r="B5" s="42">
        <f>Dashboard!J16</f>
        <v/>
      </c>
      <c r="G5" s="44">
        <f>G4-7</f>
        <v/>
      </c>
      <c r="H5">
        <f>IF(COUNTIFS(tblHistory[Date],"&gt;="&amp;G5-6,tblHistory[Date],"&lt;="&amp;G5)=0,NA(),_xlfn.MAXIFS(tblHistory[Score],tblHistory[Date],"&gt;="&amp;G5-6,tblHistory[Date],"&lt;="&amp;G5))</f>
        <v/>
      </c>
      <c r="J5" s="45">
        <f>IFERROR(IF(INDEX(tblHistory[Date],4)&gt;MAX(tblHistory[Date])-364,INDEX(tblHistory[Date],4),""),"")</f>
        <v/>
      </c>
      <c r="K5" s="43">
        <f>IF(J5="",NA(),IFERROR(INDEX(tblHistory[EquityP],4),NA()))</f>
        <v/>
      </c>
      <c r="L5" s="43">
        <f>IF(J5="",NA(),IFERROR(INDEX(tblHistory[FinP],4),NA()))</f>
        <v/>
      </c>
      <c r="M5" s="43">
        <f>IF(J5="",NA(),IFERROR(INDEX(tblHistory[CreditP],4),NA()))</f>
        <v/>
      </c>
      <c r="N5" s="43">
        <f>IF(J5="",NA(),IFERROR(INDEX(tblHistory[Score],4),NA()))</f>
        <v/>
      </c>
    </row>
    <row r="6">
      <c r="A6" t="inlineStr">
        <is>
          <t>CRWV</t>
        </is>
      </c>
      <c r="B6" s="42">
        <f>Dashboard!J17</f>
        <v/>
      </c>
      <c r="G6" s="44">
        <f>G5-7</f>
        <v/>
      </c>
      <c r="H6">
        <f>IF(COUNTIFS(tblHistory[Date],"&gt;="&amp;G6-6,tblHistory[Date],"&lt;="&amp;G6)=0,NA(),_xlfn.MAXIFS(tblHistory[Score],tblHistory[Date],"&gt;="&amp;G6-6,tblHistory[Date],"&lt;="&amp;G6))</f>
        <v/>
      </c>
      <c r="J6" s="45">
        <f>IFERROR(IF(INDEX(tblHistory[Date],5)&gt;MAX(tblHistory[Date])-364,INDEX(tblHistory[Date],5),""),"")</f>
        <v/>
      </c>
      <c r="K6" s="43">
        <f>IF(J6="",NA(),IFERROR(INDEX(tblHistory[EquityP],5),NA()))</f>
        <v/>
      </c>
      <c r="L6" s="43">
        <f>IF(J6="",NA(),IFERROR(INDEX(tblHistory[FinP],5),NA()))</f>
        <v/>
      </c>
      <c r="M6" s="43">
        <f>IF(J6="",NA(),IFERROR(INDEX(tblHistory[CreditP],5),NA()))</f>
        <v/>
      </c>
      <c r="N6" s="43">
        <f>IF(J6="",NA(),IFERROR(INDEX(tblHistory[Score],5),NA()))</f>
        <v/>
      </c>
    </row>
    <row r="7">
      <c r="A7" t="inlineStr">
        <is>
          <t>BIZD</t>
        </is>
      </c>
      <c r="B7" s="42">
        <f>Dashboard!J18</f>
        <v/>
      </c>
      <c r="G7" s="44">
        <f>G6-7</f>
        <v/>
      </c>
      <c r="H7">
        <f>IF(COUNTIFS(tblHistory[Date],"&gt;="&amp;G7-6,tblHistory[Date],"&lt;="&amp;G7)=0,NA(),_xlfn.MAXIFS(tblHistory[Score],tblHistory[Date],"&gt;="&amp;G7-6,tblHistory[Date],"&lt;="&amp;G7))</f>
        <v/>
      </c>
      <c r="J7" s="45">
        <f>IFERROR(IF(INDEX(tblHistory[Date],6)&gt;MAX(tblHistory[Date])-364,INDEX(tblHistory[Date],6),""),"")</f>
        <v/>
      </c>
      <c r="K7" s="43">
        <f>IF(J7="",NA(),IFERROR(INDEX(tblHistory[EquityP],6),NA()))</f>
        <v/>
      </c>
      <c r="L7" s="43">
        <f>IF(J7="",NA(),IFERROR(INDEX(tblHistory[FinP],6),NA()))</f>
        <v/>
      </c>
      <c r="M7" s="43">
        <f>IF(J7="",NA(),IFERROR(INDEX(tblHistory[CreditP],6),NA()))</f>
        <v/>
      </c>
      <c r="N7" s="43">
        <f>IF(J7="",NA(),IFERROR(INDEX(tblHistory[Score],6),NA()))</f>
        <v/>
      </c>
    </row>
    <row r="8">
      <c r="A8" t="inlineStr">
        <is>
          <t>BKLN</t>
        </is>
      </c>
      <c r="B8" s="42">
        <f>Dashboard!J19</f>
        <v/>
      </c>
      <c r="G8" s="44">
        <f>G7-7</f>
        <v/>
      </c>
      <c r="H8">
        <f>IF(COUNTIFS(tblHistory[Date],"&gt;="&amp;G8-6,tblHistory[Date],"&lt;="&amp;G8)=0,NA(),_xlfn.MAXIFS(tblHistory[Score],tblHistory[Date],"&gt;="&amp;G8-6,tblHistory[Date],"&lt;="&amp;G8))</f>
        <v/>
      </c>
      <c r="J8" s="45">
        <f>IFERROR(IF(INDEX(tblHistory[Date],7)&gt;MAX(tblHistory[Date])-364,INDEX(tblHistory[Date],7),""),"")</f>
        <v/>
      </c>
      <c r="K8" s="43">
        <f>IF(J8="",NA(),IFERROR(INDEX(tblHistory[EquityP],7),NA()))</f>
        <v/>
      </c>
      <c r="L8" s="43">
        <f>IF(J8="",NA(),IFERROR(INDEX(tblHistory[FinP],7),NA()))</f>
        <v/>
      </c>
      <c r="M8" s="43">
        <f>IF(J8="",NA(),IFERROR(INDEX(tblHistory[CreditP],7),NA()))</f>
        <v/>
      </c>
      <c r="N8" s="43">
        <f>IF(J8="",NA(),IFERROR(INDEX(tblHistory[Score],7),NA()))</f>
        <v/>
      </c>
    </row>
    <row r="9">
      <c r="A9" t="inlineStr">
        <is>
          <t>HY</t>
        </is>
      </c>
      <c r="B9" s="42">
        <f>Dashboard!J20</f>
        <v/>
      </c>
      <c r="G9" s="44">
        <f>G8-7</f>
        <v/>
      </c>
      <c r="H9">
        <f>IF(COUNTIFS(tblHistory[Date],"&gt;="&amp;G9-6,tblHistory[Date],"&lt;="&amp;G9)=0,NA(),_xlfn.MAXIFS(tblHistory[Score],tblHistory[Date],"&gt;="&amp;G9-6,tblHistory[Date],"&lt;="&amp;G9))</f>
        <v/>
      </c>
      <c r="J9" s="45">
        <f>IFERROR(IF(INDEX(tblHistory[Date],8)&gt;MAX(tblHistory[Date])-364,INDEX(tblHistory[Date],8),""),"")</f>
        <v/>
      </c>
      <c r="K9" s="43">
        <f>IF(J9="",NA(),IFERROR(INDEX(tblHistory[EquityP],8),NA()))</f>
        <v/>
      </c>
      <c r="L9" s="43">
        <f>IF(J9="",NA(),IFERROR(INDEX(tblHistory[FinP],8),NA()))</f>
        <v/>
      </c>
      <c r="M9" s="43">
        <f>IF(J9="",NA(),IFERROR(INDEX(tblHistory[CreditP],8),NA()))</f>
        <v/>
      </c>
      <c r="N9" s="43">
        <f>IF(J9="",NA(),IFERROR(INDEX(tblHistory[Score],8),NA()))</f>
        <v/>
      </c>
    </row>
    <row r="10">
      <c r="G10" s="44">
        <f>G9-7</f>
        <v/>
      </c>
      <c r="H10">
        <f>IF(COUNTIFS(tblHistory[Date],"&gt;="&amp;G10-6,tblHistory[Date],"&lt;="&amp;G10)=0,NA(),_xlfn.MAXIFS(tblHistory[Score],tblHistory[Date],"&gt;="&amp;G10-6,tblHistory[Date],"&lt;="&amp;G10))</f>
        <v/>
      </c>
      <c r="J10" s="45">
        <f>IFERROR(IF(INDEX(tblHistory[Date],9)&gt;MAX(tblHistory[Date])-364,INDEX(tblHistory[Date],9),""),"")</f>
        <v/>
      </c>
      <c r="K10" s="43">
        <f>IF(J10="",NA(),IFERROR(INDEX(tblHistory[EquityP],9),NA()))</f>
        <v/>
      </c>
      <c r="L10" s="43">
        <f>IF(J10="",NA(),IFERROR(INDEX(tblHistory[FinP],9),NA()))</f>
        <v/>
      </c>
      <c r="M10" s="43">
        <f>IF(J10="",NA(),IFERROR(INDEX(tblHistory[CreditP],9),NA()))</f>
        <v/>
      </c>
      <c r="N10" s="43">
        <f>IF(J10="",NA(),IFERROR(INDEX(tblHistory[Score],9),NA()))</f>
        <v/>
      </c>
    </row>
    <row r="11">
      <c r="G11" s="44">
        <f>G10-7</f>
        <v/>
      </c>
      <c r="H11">
        <f>IF(COUNTIFS(tblHistory[Date],"&gt;="&amp;G11-6,tblHistory[Date],"&lt;="&amp;G11)=0,NA(),_xlfn.MAXIFS(tblHistory[Score],tblHistory[Date],"&gt;="&amp;G11-6,tblHistory[Date],"&lt;="&amp;G11))</f>
        <v/>
      </c>
      <c r="J11" s="45">
        <f>IFERROR(IF(INDEX(tblHistory[Date],10)&gt;MAX(tblHistory[Date])-364,INDEX(tblHistory[Date],10),""),"")</f>
        <v/>
      </c>
      <c r="K11" s="43">
        <f>IF(J11="",NA(),IFERROR(INDEX(tblHistory[EquityP],10),NA()))</f>
        <v/>
      </c>
      <c r="L11" s="43">
        <f>IF(J11="",NA(),IFERROR(INDEX(tblHistory[FinP],10),NA()))</f>
        <v/>
      </c>
      <c r="M11" s="43">
        <f>IF(J11="",NA(),IFERROR(INDEX(tblHistory[CreditP],10),NA()))</f>
        <v/>
      </c>
      <c r="N11" s="43">
        <f>IF(J11="",NA(),IFERROR(INDEX(tblHistory[Score],10),NA()))</f>
        <v/>
      </c>
    </row>
    <row r="12">
      <c r="G12" s="44">
        <f>G11-7</f>
        <v/>
      </c>
      <c r="H12">
        <f>IF(COUNTIFS(tblHistory[Date],"&gt;="&amp;G12-6,tblHistory[Date],"&lt;="&amp;G12)=0,NA(),_xlfn.MAXIFS(tblHistory[Score],tblHistory[Date],"&gt;="&amp;G12-6,tblHistory[Date],"&lt;="&amp;G12))</f>
        <v/>
      </c>
      <c r="J12" s="45">
        <f>IFERROR(IF(INDEX(tblHistory[Date],11)&gt;MAX(tblHistory[Date])-364,INDEX(tblHistory[Date],11),""),"")</f>
        <v/>
      </c>
      <c r="K12" s="43">
        <f>IF(J12="",NA(),IFERROR(INDEX(tblHistory[EquityP],11),NA()))</f>
        <v/>
      </c>
      <c r="L12" s="43">
        <f>IF(J12="",NA(),IFERROR(INDEX(tblHistory[FinP],11),NA()))</f>
        <v/>
      </c>
      <c r="M12" s="43">
        <f>IF(J12="",NA(),IFERROR(INDEX(tblHistory[CreditP],11),NA()))</f>
        <v/>
      </c>
      <c r="N12" s="43">
        <f>IF(J12="",NA(),IFERROR(INDEX(tblHistory[Score],11),NA()))</f>
        <v/>
      </c>
    </row>
    <row r="13">
      <c r="G13" s="44">
        <f>G12-7</f>
        <v/>
      </c>
      <c r="H13">
        <f>IF(COUNTIFS(tblHistory[Date],"&gt;="&amp;G13-6,tblHistory[Date],"&lt;="&amp;G13)=0,NA(),_xlfn.MAXIFS(tblHistory[Score],tblHistory[Date],"&gt;="&amp;G13-6,tblHistory[Date],"&lt;="&amp;G13))</f>
        <v/>
      </c>
      <c r="J13" s="45">
        <f>IFERROR(IF(INDEX(tblHistory[Date],12)&gt;MAX(tblHistory[Date])-364,INDEX(tblHistory[Date],12),""),"")</f>
        <v/>
      </c>
      <c r="K13" s="43">
        <f>IF(J13="",NA(),IFERROR(INDEX(tblHistory[EquityP],12),NA()))</f>
        <v/>
      </c>
      <c r="L13" s="43">
        <f>IF(J13="",NA(),IFERROR(INDEX(tblHistory[FinP],12),NA()))</f>
        <v/>
      </c>
      <c r="M13" s="43">
        <f>IF(J13="",NA(),IFERROR(INDEX(tblHistory[CreditP],12),NA()))</f>
        <v/>
      </c>
      <c r="N13" s="43">
        <f>IF(J13="",NA(),IFERROR(INDEX(tblHistory[Score],12),NA()))</f>
        <v/>
      </c>
    </row>
    <row r="14">
      <c r="G14" s="44">
        <f>G13-7</f>
        <v/>
      </c>
      <c r="H14">
        <f>IF(COUNTIFS(tblHistory[Date],"&gt;="&amp;G14-6,tblHistory[Date],"&lt;="&amp;G14)=0,NA(),_xlfn.MAXIFS(tblHistory[Score],tblHistory[Date],"&gt;="&amp;G14-6,tblHistory[Date],"&lt;="&amp;G14))</f>
        <v/>
      </c>
      <c r="J14" s="45">
        <f>IFERROR(IF(INDEX(tblHistory[Date],13)&gt;MAX(tblHistory[Date])-364,INDEX(tblHistory[Date],13),""),"")</f>
        <v/>
      </c>
      <c r="K14" s="43">
        <f>IF(J14="",NA(),IFERROR(INDEX(tblHistory[EquityP],13),NA()))</f>
        <v/>
      </c>
      <c r="L14" s="43">
        <f>IF(J14="",NA(),IFERROR(INDEX(tblHistory[FinP],13),NA()))</f>
        <v/>
      </c>
      <c r="M14" s="43">
        <f>IF(J14="",NA(),IFERROR(INDEX(tblHistory[CreditP],13),NA()))</f>
        <v/>
      </c>
      <c r="N14" s="43">
        <f>IF(J14="",NA(),IFERROR(INDEX(tblHistory[Score],13),NA()))</f>
        <v/>
      </c>
    </row>
    <row r="15">
      <c r="G15" s="44">
        <f>G14-7</f>
        <v/>
      </c>
      <c r="H15">
        <f>IF(COUNTIFS(tblHistory[Date],"&gt;="&amp;G15-6,tblHistory[Date],"&lt;="&amp;G15)=0,NA(),_xlfn.MAXIFS(tblHistory[Score],tblHistory[Date],"&gt;="&amp;G15-6,tblHistory[Date],"&lt;="&amp;G15))</f>
        <v/>
      </c>
      <c r="J15" s="45">
        <f>IFERROR(IF(INDEX(tblHistory[Date],14)&gt;MAX(tblHistory[Date])-364,INDEX(tblHistory[Date],14),""),"")</f>
        <v/>
      </c>
      <c r="K15" s="43">
        <f>IF(J15="",NA(),IFERROR(INDEX(tblHistory[EquityP],14),NA()))</f>
        <v/>
      </c>
      <c r="L15" s="43">
        <f>IF(J15="",NA(),IFERROR(INDEX(tblHistory[FinP],14),NA()))</f>
        <v/>
      </c>
      <c r="M15" s="43">
        <f>IF(J15="",NA(),IFERROR(INDEX(tblHistory[CreditP],14),NA()))</f>
        <v/>
      </c>
      <c r="N15" s="43">
        <f>IF(J15="",NA(),IFERROR(INDEX(tblHistory[Score],14),NA()))</f>
        <v/>
      </c>
    </row>
    <row r="16">
      <c r="G16" s="44">
        <f>G15-7</f>
        <v/>
      </c>
      <c r="H16">
        <f>IF(COUNTIFS(tblHistory[Date],"&gt;="&amp;G16-6,tblHistory[Date],"&lt;="&amp;G16)=0,NA(),_xlfn.MAXIFS(tblHistory[Score],tblHistory[Date],"&gt;="&amp;G16-6,tblHistory[Date],"&lt;="&amp;G16))</f>
        <v/>
      </c>
      <c r="J16" s="45">
        <f>IFERROR(IF(INDEX(tblHistory[Date],15)&gt;MAX(tblHistory[Date])-364,INDEX(tblHistory[Date],15),""),"")</f>
        <v/>
      </c>
      <c r="K16" s="43">
        <f>IF(J16="",NA(),IFERROR(INDEX(tblHistory[EquityP],15),NA()))</f>
        <v/>
      </c>
      <c r="L16" s="43">
        <f>IF(J16="",NA(),IFERROR(INDEX(tblHistory[FinP],15),NA()))</f>
        <v/>
      </c>
      <c r="M16" s="43">
        <f>IF(J16="",NA(),IFERROR(INDEX(tblHistory[CreditP],15),NA()))</f>
        <v/>
      </c>
      <c r="N16" s="43">
        <f>IF(J16="",NA(),IFERROR(INDEX(tblHistory[Score],15),NA()))</f>
        <v/>
      </c>
    </row>
    <row r="17">
      <c r="G17" s="44">
        <f>G16-7</f>
        <v/>
      </c>
      <c r="H17">
        <f>IF(COUNTIFS(tblHistory[Date],"&gt;="&amp;G17-6,tblHistory[Date],"&lt;="&amp;G17)=0,NA(),_xlfn.MAXIFS(tblHistory[Score],tblHistory[Date],"&gt;="&amp;G17-6,tblHistory[Date],"&lt;="&amp;G17))</f>
        <v/>
      </c>
      <c r="J17" s="45">
        <f>IFERROR(IF(INDEX(tblHistory[Date],16)&gt;MAX(tblHistory[Date])-364,INDEX(tblHistory[Date],16),""),"")</f>
        <v/>
      </c>
      <c r="K17" s="43">
        <f>IF(J17="",NA(),IFERROR(INDEX(tblHistory[EquityP],16),NA()))</f>
        <v/>
      </c>
      <c r="L17" s="43">
        <f>IF(J17="",NA(),IFERROR(INDEX(tblHistory[FinP],16),NA()))</f>
        <v/>
      </c>
      <c r="M17" s="43">
        <f>IF(J17="",NA(),IFERROR(INDEX(tblHistory[CreditP],16),NA()))</f>
        <v/>
      </c>
      <c r="N17" s="43">
        <f>IF(J17="",NA(),IFERROR(INDEX(tblHistory[Score],16),NA()))</f>
        <v/>
      </c>
    </row>
    <row r="18">
      <c r="G18" s="44">
        <f>G17-7</f>
        <v/>
      </c>
      <c r="H18">
        <f>IF(COUNTIFS(tblHistory[Date],"&gt;="&amp;G18-6,tblHistory[Date],"&lt;="&amp;G18)=0,NA(),_xlfn.MAXIFS(tblHistory[Score],tblHistory[Date],"&gt;="&amp;G18-6,tblHistory[Date],"&lt;="&amp;G18))</f>
        <v/>
      </c>
      <c r="J18" s="45">
        <f>IFERROR(IF(INDEX(tblHistory[Date],17)&gt;MAX(tblHistory[Date])-364,INDEX(tblHistory[Date],17),""),"")</f>
        <v/>
      </c>
      <c r="K18" s="43">
        <f>IF(J18="",NA(),IFERROR(INDEX(tblHistory[EquityP],17),NA()))</f>
        <v/>
      </c>
      <c r="L18" s="43">
        <f>IF(J18="",NA(),IFERROR(INDEX(tblHistory[FinP],17),NA()))</f>
        <v/>
      </c>
      <c r="M18" s="43">
        <f>IF(J18="",NA(),IFERROR(INDEX(tblHistory[CreditP],17),NA()))</f>
        <v/>
      </c>
      <c r="N18" s="43">
        <f>IF(J18="",NA(),IFERROR(INDEX(tblHistory[Score],17),NA()))</f>
        <v/>
      </c>
    </row>
    <row r="19">
      <c r="G19" s="44">
        <f>G18-7</f>
        <v/>
      </c>
      <c r="H19">
        <f>IF(COUNTIFS(tblHistory[Date],"&gt;="&amp;G19-6,tblHistory[Date],"&lt;="&amp;G19)=0,NA(),_xlfn.MAXIFS(tblHistory[Score],tblHistory[Date],"&gt;="&amp;G19-6,tblHistory[Date],"&lt;="&amp;G19))</f>
        <v/>
      </c>
      <c r="J19" s="45">
        <f>IFERROR(IF(INDEX(tblHistory[Date],18)&gt;MAX(tblHistory[Date])-364,INDEX(tblHistory[Date],18),""),"")</f>
        <v/>
      </c>
      <c r="K19" s="43">
        <f>IF(J19="",NA(),IFERROR(INDEX(tblHistory[EquityP],18),NA()))</f>
        <v/>
      </c>
      <c r="L19" s="43">
        <f>IF(J19="",NA(),IFERROR(INDEX(tblHistory[FinP],18),NA()))</f>
        <v/>
      </c>
      <c r="M19" s="43">
        <f>IF(J19="",NA(),IFERROR(INDEX(tblHistory[CreditP],18),NA()))</f>
        <v/>
      </c>
      <c r="N19" s="43">
        <f>IF(J19="",NA(),IFERROR(INDEX(tblHistory[Score],18),NA()))</f>
        <v/>
      </c>
    </row>
    <row r="20">
      <c r="G20" s="44">
        <f>G19-7</f>
        <v/>
      </c>
      <c r="H20">
        <f>IF(COUNTIFS(tblHistory[Date],"&gt;="&amp;G20-6,tblHistory[Date],"&lt;="&amp;G20)=0,NA(),_xlfn.MAXIFS(tblHistory[Score],tblHistory[Date],"&gt;="&amp;G20-6,tblHistory[Date],"&lt;="&amp;G20))</f>
        <v/>
      </c>
      <c r="J20" s="45">
        <f>IFERROR(IF(INDEX(tblHistory[Date],19)&gt;MAX(tblHistory[Date])-364,INDEX(tblHistory[Date],19),""),"")</f>
        <v/>
      </c>
      <c r="K20" s="43">
        <f>IF(J20="",NA(),IFERROR(INDEX(tblHistory[EquityP],19),NA()))</f>
        <v/>
      </c>
      <c r="L20" s="43">
        <f>IF(J20="",NA(),IFERROR(INDEX(tblHistory[FinP],19),NA()))</f>
        <v/>
      </c>
      <c r="M20" s="43">
        <f>IF(J20="",NA(),IFERROR(INDEX(tblHistory[CreditP],19),NA()))</f>
        <v/>
      </c>
      <c r="N20" s="43">
        <f>IF(J20="",NA(),IFERROR(INDEX(tblHistory[Score],19),NA()))</f>
        <v/>
      </c>
    </row>
    <row r="21">
      <c r="G21" s="44">
        <f>G20-7</f>
        <v/>
      </c>
      <c r="H21">
        <f>IF(COUNTIFS(tblHistory[Date],"&gt;="&amp;G21-6,tblHistory[Date],"&lt;="&amp;G21)=0,NA(),_xlfn.MAXIFS(tblHistory[Score],tblHistory[Date],"&gt;="&amp;G21-6,tblHistory[Date],"&lt;="&amp;G21))</f>
        <v/>
      </c>
      <c r="J21" s="45">
        <f>IFERROR(IF(INDEX(tblHistory[Date],20)&gt;MAX(tblHistory[Date])-364,INDEX(tblHistory[Date],20),""),"")</f>
        <v/>
      </c>
      <c r="K21" s="43">
        <f>IF(J21="",NA(),IFERROR(INDEX(tblHistory[EquityP],20),NA()))</f>
        <v/>
      </c>
      <c r="L21" s="43">
        <f>IF(J21="",NA(),IFERROR(INDEX(tblHistory[FinP],20),NA()))</f>
        <v/>
      </c>
      <c r="M21" s="43">
        <f>IF(J21="",NA(),IFERROR(INDEX(tblHistory[CreditP],20),NA()))</f>
        <v/>
      </c>
      <c r="N21" s="43">
        <f>IF(J21="",NA(),IFERROR(INDEX(tblHistory[Score],20),NA()))</f>
        <v/>
      </c>
    </row>
    <row r="22">
      <c r="G22" s="44">
        <f>G21-7</f>
        <v/>
      </c>
      <c r="H22">
        <f>IF(COUNTIFS(tblHistory[Date],"&gt;="&amp;G22-6,tblHistory[Date],"&lt;="&amp;G22)=0,NA(),_xlfn.MAXIFS(tblHistory[Score],tblHistory[Date],"&gt;="&amp;G22-6,tblHistory[Date],"&lt;="&amp;G22))</f>
        <v/>
      </c>
      <c r="J22" s="45">
        <f>IFERROR(IF(INDEX(tblHistory[Date],21)&gt;MAX(tblHistory[Date])-364,INDEX(tblHistory[Date],21),""),"")</f>
        <v/>
      </c>
      <c r="K22" s="43">
        <f>IF(J22="",NA(),IFERROR(INDEX(tblHistory[EquityP],21),NA()))</f>
        <v/>
      </c>
      <c r="L22" s="43">
        <f>IF(J22="",NA(),IFERROR(INDEX(tblHistory[FinP],21),NA()))</f>
        <v/>
      </c>
      <c r="M22" s="43">
        <f>IF(J22="",NA(),IFERROR(INDEX(tblHistory[CreditP],21),NA()))</f>
        <v/>
      </c>
      <c r="N22" s="43">
        <f>IF(J22="",NA(),IFERROR(INDEX(tblHistory[Score],21),NA()))</f>
        <v/>
      </c>
    </row>
    <row r="23">
      <c r="G23" s="44">
        <f>G22-7</f>
        <v/>
      </c>
      <c r="H23">
        <f>IF(COUNTIFS(tblHistory[Date],"&gt;="&amp;G23-6,tblHistory[Date],"&lt;="&amp;G23)=0,NA(),_xlfn.MAXIFS(tblHistory[Score],tblHistory[Date],"&gt;="&amp;G23-6,tblHistory[Date],"&lt;="&amp;G23))</f>
        <v/>
      </c>
      <c r="J23" s="45">
        <f>IFERROR(IF(INDEX(tblHistory[Date],22)&gt;MAX(tblHistory[Date])-364,INDEX(tblHistory[Date],22),""),"")</f>
        <v/>
      </c>
      <c r="K23" s="43">
        <f>IF(J23="",NA(),IFERROR(INDEX(tblHistory[EquityP],22),NA()))</f>
        <v/>
      </c>
      <c r="L23" s="43">
        <f>IF(J23="",NA(),IFERROR(INDEX(tblHistory[FinP],22),NA()))</f>
        <v/>
      </c>
      <c r="M23" s="43">
        <f>IF(J23="",NA(),IFERROR(INDEX(tblHistory[CreditP],22),NA()))</f>
        <v/>
      </c>
      <c r="N23" s="43">
        <f>IF(J23="",NA(),IFERROR(INDEX(tblHistory[Score],22),NA()))</f>
        <v/>
      </c>
    </row>
    <row r="24">
      <c r="G24" s="44">
        <f>G23-7</f>
        <v/>
      </c>
      <c r="H24">
        <f>IF(COUNTIFS(tblHistory[Date],"&gt;="&amp;G24-6,tblHistory[Date],"&lt;="&amp;G24)=0,NA(),_xlfn.MAXIFS(tblHistory[Score],tblHistory[Date],"&gt;="&amp;G24-6,tblHistory[Date],"&lt;="&amp;G24))</f>
        <v/>
      </c>
      <c r="J24" s="45">
        <f>IFERROR(IF(INDEX(tblHistory[Date],23)&gt;MAX(tblHistory[Date])-364,INDEX(tblHistory[Date],23),""),"")</f>
        <v/>
      </c>
      <c r="K24" s="43">
        <f>IF(J24="",NA(),IFERROR(INDEX(tblHistory[EquityP],23),NA()))</f>
        <v/>
      </c>
      <c r="L24" s="43">
        <f>IF(J24="",NA(),IFERROR(INDEX(tblHistory[FinP],23),NA()))</f>
        <v/>
      </c>
      <c r="M24" s="43">
        <f>IF(J24="",NA(),IFERROR(INDEX(tblHistory[CreditP],23),NA()))</f>
        <v/>
      </c>
      <c r="N24" s="43">
        <f>IF(J24="",NA(),IFERROR(INDEX(tblHistory[Score],23),NA()))</f>
        <v/>
      </c>
    </row>
    <row r="25">
      <c r="G25" s="44">
        <f>G24-7</f>
        <v/>
      </c>
      <c r="H25">
        <f>IF(COUNTIFS(tblHistory[Date],"&gt;="&amp;G25-6,tblHistory[Date],"&lt;="&amp;G25)=0,NA(),_xlfn.MAXIFS(tblHistory[Score],tblHistory[Date],"&gt;="&amp;G25-6,tblHistory[Date],"&lt;="&amp;G25))</f>
        <v/>
      </c>
      <c r="J25" s="45">
        <f>IFERROR(IF(INDEX(tblHistory[Date],24)&gt;MAX(tblHistory[Date])-364,INDEX(tblHistory[Date],24),""),"")</f>
        <v/>
      </c>
      <c r="K25" s="43">
        <f>IF(J25="",NA(),IFERROR(INDEX(tblHistory[EquityP],24),NA()))</f>
        <v/>
      </c>
      <c r="L25" s="43">
        <f>IF(J25="",NA(),IFERROR(INDEX(tblHistory[FinP],24),NA()))</f>
        <v/>
      </c>
      <c r="M25" s="43">
        <f>IF(J25="",NA(),IFERROR(INDEX(tblHistory[CreditP],24),NA()))</f>
        <v/>
      </c>
      <c r="N25" s="43">
        <f>IF(J25="",NA(),IFERROR(INDEX(tblHistory[Score],24),NA()))</f>
        <v/>
      </c>
    </row>
    <row r="26">
      <c r="G26" s="44">
        <f>G25-7</f>
        <v/>
      </c>
      <c r="H26">
        <f>IF(COUNTIFS(tblHistory[Date],"&gt;="&amp;G26-6,tblHistory[Date],"&lt;="&amp;G26)=0,NA(),_xlfn.MAXIFS(tblHistory[Score],tblHistory[Date],"&gt;="&amp;G26-6,tblHistory[Date],"&lt;="&amp;G26))</f>
        <v/>
      </c>
      <c r="J26" s="45">
        <f>IFERROR(IF(INDEX(tblHistory[Date],25)&gt;MAX(tblHistory[Date])-364,INDEX(tblHistory[Date],25),""),"")</f>
        <v/>
      </c>
      <c r="K26" s="43">
        <f>IF(J26="",NA(),IFERROR(INDEX(tblHistory[EquityP],25),NA()))</f>
        <v/>
      </c>
      <c r="L26" s="43">
        <f>IF(J26="",NA(),IFERROR(INDEX(tblHistory[FinP],25),NA()))</f>
        <v/>
      </c>
      <c r="M26" s="43">
        <f>IF(J26="",NA(),IFERROR(INDEX(tblHistory[CreditP],25),NA()))</f>
        <v/>
      </c>
      <c r="N26" s="43">
        <f>IF(J26="",NA(),IFERROR(INDEX(tblHistory[Score],25),NA()))</f>
        <v/>
      </c>
    </row>
    <row r="27">
      <c r="G27" s="44">
        <f>G26-7</f>
        <v/>
      </c>
      <c r="H27">
        <f>IF(COUNTIFS(tblHistory[Date],"&gt;="&amp;G27-6,tblHistory[Date],"&lt;="&amp;G27)=0,NA(),_xlfn.MAXIFS(tblHistory[Score],tblHistory[Date],"&gt;="&amp;G27-6,tblHistory[Date],"&lt;="&amp;G27))</f>
        <v/>
      </c>
      <c r="J27" s="45">
        <f>IFERROR(IF(INDEX(tblHistory[Date],26)&gt;MAX(tblHistory[Date])-364,INDEX(tblHistory[Date],26),""),"")</f>
        <v/>
      </c>
      <c r="K27" s="43">
        <f>IF(J27="",NA(),IFERROR(INDEX(tblHistory[EquityP],26),NA()))</f>
        <v/>
      </c>
      <c r="L27" s="43">
        <f>IF(J27="",NA(),IFERROR(INDEX(tblHistory[FinP],26),NA()))</f>
        <v/>
      </c>
      <c r="M27" s="43">
        <f>IF(J27="",NA(),IFERROR(INDEX(tblHistory[CreditP],26),NA()))</f>
        <v/>
      </c>
      <c r="N27" s="43">
        <f>IF(J27="",NA(),IFERROR(INDEX(tblHistory[Score],26),NA()))</f>
        <v/>
      </c>
    </row>
    <row r="28">
      <c r="J28" s="45">
        <f>IFERROR(IF(INDEX(tblHistory[Date],27)&gt;MAX(tblHistory[Date])-364,INDEX(tblHistory[Date],27),""),"")</f>
        <v/>
      </c>
      <c r="K28" s="43">
        <f>IF(J28="",NA(),IFERROR(INDEX(tblHistory[EquityP],27),NA()))</f>
        <v/>
      </c>
      <c r="L28" s="43">
        <f>IF(J28="",NA(),IFERROR(INDEX(tblHistory[FinP],27),NA()))</f>
        <v/>
      </c>
      <c r="M28" s="43">
        <f>IF(J28="",NA(),IFERROR(INDEX(tblHistory[CreditP],27),NA()))</f>
        <v/>
      </c>
      <c r="N28" s="43">
        <f>IF(J28="",NA(),IFERROR(INDEX(tblHistory[Score],27),NA()))</f>
        <v/>
      </c>
    </row>
    <row r="29">
      <c r="J29" s="45">
        <f>IFERROR(IF(INDEX(tblHistory[Date],28)&gt;MAX(tblHistory[Date])-364,INDEX(tblHistory[Date],28),""),"")</f>
        <v/>
      </c>
      <c r="K29" s="43">
        <f>IF(J29="",NA(),IFERROR(INDEX(tblHistory[EquityP],28),NA()))</f>
        <v/>
      </c>
      <c r="L29" s="43">
        <f>IF(J29="",NA(),IFERROR(INDEX(tblHistory[FinP],28),NA()))</f>
        <v/>
      </c>
      <c r="M29" s="43">
        <f>IF(J29="",NA(),IFERROR(INDEX(tblHistory[CreditP],28),NA()))</f>
        <v/>
      </c>
      <c r="N29" s="43">
        <f>IF(J29="",NA(),IFERROR(INDEX(tblHistory[Score],28),NA()))</f>
        <v/>
      </c>
    </row>
    <row r="30">
      <c r="J30" s="45">
        <f>IFERROR(IF(INDEX(tblHistory[Date],29)&gt;MAX(tblHistory[Date])-364,INDEX(tblHistory[Date],29),""),"")</f>
        <v/>
      </c>
      <c r="K30" s="43">
        <f>IF(J30="",NA(),IFERROR(INDEX(tblHistory[EquityP],29),NA()))</f>
        <v/>
      </c>
      <c r="L30" s="43">
        <f>IF(J30="",NA(),IFERROR(INDEX(tblHistory[FinP],29),NA()))</f>
        <v/>
      </c>
      <c r="M30" s="43">
        <f>IF(J30="",NA(),IFERROR(INDEX(tblHistory[CreditP],29),NA()))</f>
        <v/>
      </c>
      <c r="N30" s="43">
        <f>IF(J30="",NA(),IFERROR(INDEX(tblHistory[Score],29),NA()))</f>
        <v/>
      </c>
    </row>
    <row r="31">
      <c r="J31" s="45">
        <f>IFERROR(IF(INDEX(tblHistory[Date],30)&gt;MAX(tblHistory[Date])-364,INDEX(tblHistory[Date],30),""),"")</f>
        <v/>
      </c>
      <c r="K31" s="43">
        <f>IF(J31="",NA(),IFERROR(INDEX(tblHistory[EquityP],30),NA()))</f>
        <v/>
      </c>
      <c r="L31" s="43">
        <f>IF(J31="",NA(),IFERROR(INDEX(tblHistory[FinP],30),NA()))</f>
        <v/>
      </c>
      <c r="M31" s="43">
        <f>IF(J31="",NA(),IFERROR(INDEX(tblHistory[CreditP],30),NA()))</f>
        <v/>
      </c>
      <c r="N31" s="43">
        <f>IF(J31="",NA(),IFERROR(INDEX(tblHistory[Score],30),NA()))</f>
        <v/>
      </c>
    </row>
    <row r="32">
      <c r="J32" s="45">
        <f>IFERROR(IF(INDEX(tblHistory[Date],31)&gt;MAX(tblHistory[Date])-364,INDEX(tblHistory[Date],31),""),"")</f>
        <v/>
      </c>
      <c r="K32" s="43">
        <f>IF(J32="",NA(),IFERROR(INDEX(tblHistory[EquityP],31),NA()))</f>
        <v/>
      </c>
      <c r="L32" s="43">
        <f>IF(J32="",NA(),IFERROR(INDEX(tblHistory[FinP],31),NA()))</f>
        <v/>
      </c>
      <c r="M32" s="43">
        <f>IF(J32="",NA(),IFERROR(INDEX(tblHistory[CreditP],31),NA()))</f>
        <v/>
      </c>
      <c r="N32" s="43">
        <f>IF(J32="",NA(),IFERROR(INDEX(tblHistory[Score],31),NA()))</f>
        <v/>
      </c>
    </row>
    <row r="33">
      <c r="J33" s="45">
        <f>IFERROR(IF(INDEX(tblHistory[Date],32)&gt;MAX(tblHistory[Date])-364,INDEX(tblHistory[Date],32),""),"")</f>
        <v/>
      </c>
      <c r="K33" s="43">
        <f>IF(J33="",NA(),IFERROR(INDEX(tblHistory[EquityP],32),NA()))</f>
        <v/>
      </c>
      <c r="L33" s="43">
        <f>IF(J33="",NA(),IFERROR(INDEX(tblHistory[FinP],32),NA()))</f>
        <v/>
      </c>
      <c r="M33" s="43">
        <f>IF(J33="",NA(),IFERROR(INDEX(tblHistory[CreditP],32),NA()))</f>
        <v/>
      </c>
      <c r="N33" s="43">
        <f>IF(J33="",NA(),IFERROR(INDEX(tblHistory[Score],32),NA()))</f>
        <v/>
      </c>
    </row>
    <row r="34">
      <c r="J34" s="45">
        <f>IFERROR(IF(INDEX(tblHistory[Date],33)&gt;MAX(tblHistory[Date])-364,INDEX(tblHistory[Date],33),""),"")</f>
        <v/>
      </c>
      <c r="K34" s="43">
        <f>IF(J34="",NA(),IFERROR(INDEX(tblHistory[EquityP],33),NA()))</f>
        <v/>
      </c>
      <c r="L34" s="43">
        <f>IF(J34="",NA(),IFERROR(INDEX(tblHistory[FinP],33),NA()))</f>
        <v/>
      </c>
      <c r="M34" s="43">
        <f>IF(J34="",NA(),IFERROR(INDEX(tblHistory[CreditP],33),NA()))</f>
        <v/>
      </c>
      <c r="N34" s="43">
        <f>IF(J34="",NA(),IFERROR(INDEX(tblHistory[Score],33),NA()))</f>
        <v/>
      </c>
    </row>
    <row r="35">
      <c r="J35" s="45">
        <f>IFERROR(IF(INDEX(tblHistory[Date],34)&gt;MAX(tblHistory[Date])-364,INDEX(tblHistory[Date],34),""),"")</f>
        <v/>
      </c>
      <c r="K35" s="43">
        <f>IF(J35="",NA(),IFERROR(INDEX(tblHistory[EquityP],34),NA()))</f>
        <v/>
      </c>
      <c r="L35" s="43">
        <f>IF(J35="",NA(),IFERROR(INDEX(tblHistory[FinP],34),NA()))</f>
        <v/>
      </c>
      <c r="M35" s="43">
        <f>IF(J35="",NA(),IFERROR(INDEX(tblHistory[CreditP],34),NA()))</f>
        <v/>
      </c>
      <c r="N35" s="43">
        <f>IF(J35="",NA(),IFERROR(INDEX(tblHistory[Score],34),NA()))</f>
        <v/>
      </c>
    </row>
    <row r="36">
      <c r="J36" s="45">
        <f>IFERROR(IF(INDEX(tblHistory[Date],35)&gt;MAX(tblHistory[Date])-364,INDEX(tblHistory[Date],35),""),"")</f>
        <v/>
      </c>
      <c r="K36" s="43">
        <f>IF(J36="",NA(),IFERROR(INDEX(tblHistory[EquityP],35),NA()))</f>
        <v/>
      </c>
      <c r="L36" s="43">
        <f>IF(J36="",NA(),IFERROR(INDEX(tblHistory[FinP],35),NA()))</f>
        <v/>
      </c>
      <c r="M36" s="43">
        <f>IF(J36="",NA(),IFERROR(INDEX(tblHistory[CreditP],35),NA()))</f>
        <v/>
      </c>
      <c r="N36" s="43">
        <f>IF(J36="",NA(),IFERROR(INDEX(tblHistory[Score],35),NA()))</f>
        <v/>
      </c>
    </row>
    <row r="37">
      <c r="J37" s="45">
        <f>IFERROR(IF(INDEX(tblHistory[Date],36)&gt;MAX(tblHistory[Date])-364,INDEX(tblHistory[Date],36),""),"")</f>
        <v/>
      </c>
      <c r="K37" s="43">
        <f>IF(J37="",NA(),IFERROR(INDEX(tblHistory[EquityP],36),NA()))</f>
        <v/>
      </c>
      <c r="L37" s="43">
        <f>IF(J37="",NA(),IFERROR(INDEX(tblHistory[FinP],36),NA()))</f>
        <v/>
      </c>
      <c r="M37" s="43">
        <f>IF(J37="",NA(),IFERROR(INDEX(tblHistory[CreditP],36),NA()))</f>
        <v/>
      </c>
      <c r="N37" s="43">
        <f>IF(J37="",NA(),IFERROR(INDEX(tblHistory[Score],36),NA()))</f>
        <v/>
      </c>
    </row>
    <row r="38">
      <c r="J38" s="45">
        <f>IFERROR(IF(INDEX(tblHistory[Date],37)&gt;MAX(tblHistory[Date])-364,INDEX(tblHistory[Date],37),""),"")</f>
        <v/>
      </c>
      <c r="K38" s="43">
        <f>IF(J38="",NA(),IFERROR(INDEX(tblHistory[EquityP],37),NA()))</f>
        <v/>
      </c>
      <c r="L38" s="43">
        <f>IF(J38="",NA(),IFERROR(INDEX(tblHistory[FinP],37),NA()))</f>
        <v/>
      </c>
      <c r="M38" s="43">
        <f>IF(J38="",NA(),IFERROR(INDEX(tblHistory[CreditP],37),NA()))</f>
        <v/>
      </c>
      <c r="N38" s="43">
        <f>IF(J38="",NA(),IFERROR(INDEX(tblHistory[Score],37),NA()))</f>
        <v/>
      </c>
    </row>
    <row r="39">
      <c r="J39" s="45">
        <f>IFERROR(IF(INDEX(tblHistory[Date],38)&gt;MAX(tblHistory[Date])-364,INDEX(tblHistory[Date],38),""),"")</f>
        <v/>
      </c>
      <c r="K39" s="43">
        <f>IF(J39="",NA(),IFERROR(INDEX(tblHistory[EquityP],38),NA()))</f>
        <v/>
      </c>
      <c r="L39" s="43">
        <f>IF(J39="",NA(),IFERROR(INDEX(tblHistory[FinP],38),NA()))</f>
        <v/>
      </c>
      <c r="M39" s="43">
        <f>IF(J39="",NA(),IFERROR(INDEX(tblHistory[CreditP],38),NA()))</f>
        <v/>
      </c>
      <c r="N39" s="43">
        <f>IF(J39="",NA(),IFERROR(INDEX(tblHistory[Score],38),NA()))</f>
        <v/>
      </c>
    </row>
    <row r="40">
      <c r="J40" s="45">
        <f>IFERROR(IF(INDEX(tblHistory[Date],39)&gt;MAX(tblHistory[Date])-364,INDEX(tblHistory[Date],39),""),"")</f>
        <v/>
      </c>
      <c r="K40" s="43">
        <f>IF(J40="",NA(),IFERROR(INDEX(tblHistory[EquityP],39),NA()))</f>
        <v/>
      </c>
      <c r="L40" s="43">
        <f>IF(J40="",NA(),IFERROR(INDEX(tblHistory[FinP],39),NA()))</f>
        <v/>
      </c>
      <c r="M40" s="43">
        <f>IF(J40="",NA(),IFERROR(INDEX(tblHistory[CreditP],39),NA()))</f>
        <v/>
      </c>
      <c r="N40" s="43">
        <f>IF(J40="",NA(),IFERROR(INDEX(tblHistory[Score],39),NA()))</f>
        <v/>
      </c>
    </row>
    <row r="41">
      <c r="J41" s="45">
        <f>IFERROR(IF(INDEX(tblHistory[Date],40)&gt;MAX(tblHistory[Date])-364,INDEX(tblHistory[Date],40),""),"")</f>
        <v/>
      </c>
      <c r="K41" s="43">
        <f>IF(J41="",NA(),IFERROR(INDEX(tblHistory[EquityP],40),NA()))</f>
        <v/>
      </c>
      <c r="L41" s="43">
        <f>IF(J41="",NA(),IFERROR(INDEX(tblHistory[FinP],40),NA()))</f>
        <v/>
      </c>
      <c r="M41" s="43">
        <f>IF(J41="",NA(),IFERROR(INDEX(tblHistory[CreditP],40),NA()))</f>
        <v/>
      </c>
      <c r="N41" s="43">
        <f>IF(J41="",NA(),IFERROR(INDEX(tblHistory[Score],40),NA()))</f>
        <v/>
      </c>
    </row>
    <row r="42">
      <c r="J42" s="45">
        <f>IFERROR(IF(INDEX(tblHistory[Date],41)&gt;MAX(tblHistory[Date])-364,INDEX(tblHistory[Date],41),""),"")</f>
        <v/>
      </c>
      <c r="K42" s="43">
        <f>IF(J42="",NA(),IFERROR(INDEX(tblHistory[EquityP],41),NA()))</f>
        <v/>
      </c>
      <c r="L42" s="43">
        <f>IF(J42="",NA(),IFERROR(INDEX(tblHistory[FinP],41),NA()))</f>
        <v/>
      </c>
      <c r="M42" s="43">
        <f>IF(J42="",NA(),IFERROR(INDEX(tblHistory[CreditP],41),NA()))</f>
        <v/>
      </c>
      <c r="N42" s="43">
        <f>IF(J42="",NA(),IFERROR(INDEX(tblHistory[Score],41),NA()))</f>
        <v/>
      </c>
    </row>
    <row r="43">
      <c r="J43" s="45">
        <f>IFERROR(IF(INDEX(tblHistory[Date],42)&gt;MAX(tblHistory[Date])-364,INDEX(tblHistory[Date],42),""),"")</f>
        <v/>
      </c>
      <c r="K43" s="43">
        <f>IF(J43="",NA(),IFERROR(INDEX(tblHistory[EquityP],42),NA()))</f>
        <v/>
      </c>
      <c r="L43" s="43">
        <f>IF(J43="",NA(),IFERROR(INDEX(tblHistory[FinP],42),NA()))</f>
        <v/>
      </c>
      <c r="M43" s="43">
        <f>IF(J43="",NA(),IFERROR(INDEX(tblHistory[CreditP],42),NA()))</f>
        <v/>
      </c>
      <c r="N43" s="43">
        <f>IF(J43="",NA(),IFERROR(INDEX(tblHistory[Score],42),NA()))</f>
        <v/>
      </c>
    </row>
    <row r="44">
      <c r="J44" s="45">
        <f>IFERROR(IF(INDEX(tblHistory[Date],43)&gt;MAX(tblHistory[Date])-364,INDEX(tblHistory[Date],43),""),"")</f>
        <v/>
      </c>
      <c r="K44" s="43">
        <f>IF(J44="",NA(),IFERROR(INDEX(tblHistory[EquityP],43),NA()))</f>
        <v/>
      </c>
      <c r="L44" s="43">
        <f>IF(J44="",NA(),IFERROR(INDEX(tblHistory[FinP],43),NA()))</f>
        <v/>
      </c>
      <c r="M44" s="43">
        <f>IF(J44="",NA(),IFERROR(INDEX(tblHistory[CreditP],43),NA()))</f>
        <v/>
      </c>
      <c r="N44" s="43">
        <f>IF(J44="",NA(),IFERROR(INDEX(tblHistory[Score],43),NA()))</f>
        <v/>
      </c>
    </row>
    <row r="45">
      <c r="J45" s="45">
        <f>IFERROR(IF(INDEX(tblHistory[Date],44)&gt;MAX(tblHistory[Date])-364,INDEX(tblHistory[Date],44),""),"")</f>
        <v/>
      </c>
      <c r="K45" s="43">
        <f>IF(J45="",NA(),IFERROR(INDEX(tblHistory[EquityP],44),NA()))</f>
        <v/>
      </c>
      <c r="L45" s="43">
        <f>IF(J45="",NA(),IFERROR(INDEX(tblHistory[FinP],44),NA()))</f>
        <v/>
      </c>
      <c r="M45" s="43">
        <f>IF(J45="",NA(),IFERROR(INDEX(tblHistory[CreditP],44),NA()))</f>
        <v/>
      </c>
      <c r="N45" s="43">
        <f>IF(J45="",NA(),IFERROR(INDEX(tblHistory[Score],44),NA()))</f>
        <v/>
      </c>
    </row>
    <row r="46">
      <c r="J46" s="45">
        <f>IFERROR(IF(INDEX(tblHistory[Date],45)&gt;MAX(tblHistory[Date])-364,INDEX(tblHistory[Date],45),""),"")</f>
        <v/>
      </c>
      <c r="K46" s="43">
        <f>IF(J46="",NA(),IFERROR(INDEX(tblHistory[EquityP],45),NA()))</f>
        <v/>
      </c>
      <c r="L46" s="43">
        <f>IF(J46="",NA(),IFERROR(INDEX(tblHistory[FinP],45),NA()))</f>
        <v/>
      </c>
      <c r="M46" s="43">
        <f>IF(J46="",NA(),IFERROR(INDEX(tblHistory[CreditP],45),NA()))</f>
        <v/>
      </c>
      <c r="N46" s="43">
        <f>IF(J46="",NA(),IFERROR(INDEX(tblHistory[Score],45),NA()))</f>
        <v/>
      </c>
    </row>
    <row r="47">
      <c r="J47" s="45">
        <f>IFERROR(IF(INDEX(tblHistory[Date],46)&gt;MAX(tblHistory[Date])-364,INDEX(tblHistory[Date],46),""),"")</f>
        <v/>
      </c>
      <c r="K47" s="43">
        <f>IF(J47="",NA(),IFERROR(INDEX(tblHistory[EquityP],46),NA()))</f>
        <v/>
      </c>
      <c r="L47" s="43">
        <f>IF(J47="",NA(),IFERROR(INDEX(tblHistory[FinP],46),NA()))</f>
        <v/>
      </c>
      <c r="M47" s="43">
        <f>IF(J47="",NA(),IFERROR(INDEX(tblHistory[CreditP],46),NA()))</f>
        <v/>
      </c>
      <c r="N47" s="43">
        <f>IF(J47="",NA(),IFERROR(INDEX(tblHistory[Score],46),NA()))</f>
        <v/>
      </c>
    </row>
    <row r="48">
      <c r="J48" s="45">
        <f>IFERROR(IF(INDEX(tblHistory[Date],47)&gt;MAX(tblHistory[Date])-364,INDEX(tblHistory[Date],47),""),"")</f>
        <v/>
      </c>
      <c r="K48" s="43">
        <f>IF(J48="",NA(),IFERROR(INDEX(tblHistory[EquityP],47),NA()))</f>
        <v/>
      </c>
      <c r="L48" s="43">
        <f>IF(J48="",NA(),IFERROR(INDEX(tblHistory[FinP],47),NA()))</f>
        <v/>
      </c>
      <c r="M48" s="43">
        <f>IF(J48="",NA(),IFERROR(INDEX(tblHistory[CreditP],47),NA()))</f>
        <v/>
      </c>
      <c r="N48" s="43">
        <f>IF(J48="",NA(),IFERROR(INDEX(tblHistory[Score],47),NA()))</f>
        <v/>
      </c>
    </row>
    <row r="49">
      <c r="J49" s="45">
        <f>IFERROR(IF(INDEX(tblHistory[Date],48)&gt;MAX(tblHistory[Date])-364,INDEX(tblHistory[Date],48),""),"")</f>
        <v/>
      </c>
      <c r="K49" s="43">
        <f>IF(J49="",NA(),IFERROR(INDEX(tblHistory[EquityP],48),NA()))</f>
        <v/>
      </c>
      <c r="L49" s="43">
        <f>IF(J49="",NA(),IFERROR(INDEX(tblHistory[FinP],48),NA()))</f>
        <v/>
      </c>
      <c r="M49" s="43">
        <f>IF(J49="",NA(),IFERROR(INDEX(tblHistory[CreditP],48),NA()))</f>
        <v/>
      </c>
      <c r="N49" s="43">
        <f>IF(J49="",NA(),IFERROR(INDEX(tblHistory[Score],48),NA()))</f>
        <v/>
      </c>
    </row>
    <row r="50">
      <c r="J50" s="45">
        <f>IFERROR(IF(INDEX(tblHistory[Date],49)&gt;MAX(tblHistory[Date])-364,INDEX(tblHistory[Date],49),""),"")</f>
        <v/>
      </c>
      <c r="K50" s="43">
        <f>IF(J50="",NA(),IFERROR(INDEX(tblHistory[EquityP],49),NA()))</f>
        <v/>
      </c>
      <c r="L50" s="43">
        <f>IF(J50="",NA(),IFERROR(INDEX(tblHistory[FinP],49),NA()))</f>
        <v/>
      </c>
      <c r="M50" s="43">
        <f>IF(J50="",NA(),IFERROR(INDEX(tblHistory[CreditP],49),NA()))</f>
        <v/>
      </c>
      <c r="N50" s="43">
        <f>IF(J50="",NA(),IFERROR(INDEX(tblHistory[Score],49),NA()))</f>
        <v/>
      </c>
    </row>
    <row r="51">
      <c r="J51" s="45">
        <f>IFERROR(IF(INDEX(tblHistory[Date],50)&gt;MAX(tblHistory[Date])-364,INDEX(tblHistory[Date],50),""),"")</f>
        <v/>
      </c>
      <c r="K51" s="43">
        <f>IF(J51="",NA(),IFERROR(INDEX(tblHistory[EquityP],50),NA()))</f>
        <v/>
      </c>
      <c r="L51" s="43">
        <f>IF(J51="",NA(),IFERROR(INDEX(tblHistory[FinP],50),NA()))</f>
        <v/>
      </c>
      <c r="M51" s="43">
        <f>IF(J51="",NA(),IFERROR(INDEX(tblHistory[CreditP],50),NA()))</f>
        <v/>
      </c>
      <c r="N51" s="43">
        <f>IF(J51="",NA(),IFERROR(INDEX(tblHistory[Score],50),NA()))</f>
        <v/>
      </c>
    </row>
    <row r="52">
      <c r="J52" s="45">
        <f>IFERROR(IF(INDEX(tblHistory[Date],51)&gt;MAX(tblHistory[Date])-364,INDEX(tblHistory[Date],51),""),"")</f>
        <v/>
      </c>
      <c r="K52" s="43">
        <f>IF(J52="",NA(),IFERROR(INDEX(tblHistory[EquityP],51),NA()))</f>
        <v/>
      </c>
      <c r="L52" s="43">
        <f>IF(J52="",NA(),IFERROR(INDEX(tblHistory[FinP],51),NA()))</f>
        <v/>
      </c>
      <c r="M52" s="43">
        <f>IF(J52="",NA(),IFERROR(INDEX(tblHistory[CreditP],51),NA()))</f>
        <v/>
      </c>
      <c r="N52" s="43">
        <f>IF(J52="",NA(),IFERROR(INDEX(tblHistory[Score],51),NA()))</f>
        <v/>
      </c>
    </row>
    <row r="53">
      <c r="J53" s="45">
        <f>IFERROR(IF(INDEX(tblHistory[Date],52)&gt;MAX(tblHistory[Date])-364,INDEX(tblHistory[Date],52),""),"")</f>
        <v/>
      </c>
      <c r="K53" s="43">
        <f>IF(J53="",NA(),IFERROR(INDEX(tblHistory[EquityP],52),NA()))</f>
        <v/>
      </c>
      <c r="L53" s="43">
        <f>IF(J53="",NA(),IFERROR(INDEX(tblHistory[FinP],52),NA()))</f>
        <v/>
      </c>
      <c r="M53" s="43">
        <f>IF(J53="",NA(),IFERROR(INDEX(tblHistory[CreditP],52),NA()))</f>
        <v/>
      </c>
      <c r="N53" s="43">
        <f>IF(J53="",NA(),IFERROR(INDEX(tblHistory[Score],52),NA()))</f>
        <v/>
      </c>
    </row>
    <row r="54">
      <c r="J54" s="45">
        <f>IFERROR(IF(INDEX(tblHistory[Date],53)&gt;MAX(tblHistory[Date])-364,INDEX(tblHistory[Date],53),""),"")</f>
        <v/>
      </c>
      <c r="K54" s="43">
        <f>IF(J54="",NA(),IFERROR(INDEX(tblHistory[EquityP],53),NA()))</f>
        <v/>
      </c>
      <c r="L54" s="43">
        <f>IF(J54="",NA(),IFERROR(INDEX(tblHistory[FinP],53),NA()))</f>
        <v/>
      </c>
      <c r="M54" s="43">
        <f>IF(J54="",NA(),IFERROR(INDEX(tblHistory[CreditP],53),NA()))</f>
        <v/>
      </c>
      <c r="N54" s="43">
        <f>IF(J54="",NA(),IFERROR(INDEX(tblHistory[Score],53),NA()))</f>
        <v/>
      </c>
    </row>
    <row r="55">
      <c r="J55" s="45">
        <f>IFERROR(IF(INDEX(tblHistory[Date],54)&gt;MAX(tblHistory[Date])-364,INDEX(tblHistory[Date],54),""),"")</f>
        <v/>
      </c>
      <c r="K55" s="43">
        <f>IF(J55="",NA(),IFERROR(INDEX(tblHistory[EquityP],54),NA()))</f>
        <v/>
      </c>
      <c r="L55" s="43">
        <f>IF(J55="",NA(),IFERROR(INDEX(tblHistory[FinP],54),NA()))</f>
        <v/>
      </c>
      <c r="M55" s="43">
        <f>IF(J55="",NA(),IFERROR(INDEX(tblHistory[CreditP],54),NA()))</f>
        <v/>
      </c>
      <c r="N55" s="43">
        <f>IF(J55="",NA(),IFERROR(INDEX(tblHistory[Score],54),NA()))</f>
        <v/>
      </c>
    </row>
    <row r="56">
      <c r="J56" s="45">
        <f>IFERROR(IF(INDEX(tblHistory[Date],55)&gt;MAX(tblHistory[Date])-364,INDEX(tblHistory[Date],55),""),"")</f>
        <v/>
      </c>
      <c r="K56" s="43">
        <f>IF(J56="",NA(),IFERROR(INDEX(tblHistory[EquityP],55),NA()))</f>
        <v/>
      </c>
      <c r="L56" s="43">
        <f>IF(J56="",NA(),IFERROR(INDEX(tblHistory[FinP],55),NA()))</f>
        <v/>
      </c>
      <c r="M56" s="43">
        <f>IF(J56="",NA(),IFERROR(INDEX(tblHistory[CreditP],55),NA()))</f>
        <v/>
      </c>
      <c r="N56" s="43">
        <f>IF(J56="",NA(),IFERROR(INDEX(tblHistory[Score],55),NA()))</f>
        <v/>
      </c>
    </row>
    <row r="57">
      <c r="J57" s="45">
        <f>IFERROR(IF(INDEX(tblHistory[Date],56)&gt;MAX(tblHistory[Date])-364,INDEX(tblHistory[Date],56),""),"")</f>
        <v/>
      </c>
      <c r="K57" s="43">
        <f>IF(J57="",NA(),IFERROR(INDEX(tblHistory[EquityP],56),NA()))</f>
        <v/>
      </c>
      <c r="L57" s="43">
        <f>IF(J57="",NA(),IFERROR(INDEX(tblHistory[FinP],56),NA()))</f>
        <v/>
      </c>
      <c r="M57" s="43">
        <f>IF(J57="",NA(),IFERROR(INDEX(tblHistory[CreditP],56),NA()))</f>
        <v/>
      </c>
      <c r="N57" s="43">
        <f>IF(J57="",NA(),IFERROR(INDEX(tblHistory[Score],56),NA()))</f>
        <v/>
      </c>
    </row>
    <row r="58">
      <c r="J58" s="45">
        <f>IFERROR(IF(INDEX(tblHistory[Date],57)&gt;MAX(tblHistory[Date])-364,INDEX(tblHistory[Date],57),""),"")</f>
        <v/>
      </c>
      <c r="K58" s="43">
        <f>IF(J58="",NA(),IFERROR(INDEX(tblHistory[EquityP],57),NA()))</f>
        <v/>
      </c>
      <c r="L58" s="43">
        <f>IF(J58="",NA(),IFERROR(INDEX(tblHistory[FinP],57),NA()))</f>
        <v/>
      </c>
      <c r="M58" s="43">
        <f>IF(J58="",NA(),IFERROR(INDEX(tblHistory[CreditP],57),NA()))</f>
        <v/>
      </c>
      <c r="N58" s="43">
        <f>IF(J58="",NA(),IFERROR(INDEX(tblHistory[Score],57),NA()))</f>
        <v/>
      </c>
    </row>
    <row r="59">
      <c r="J59" s="45">
        <f>IFERROR(IF(INDEX(tblHistory[Date],58)&gt;MAX(tblHistory[Date])-364,INDEX(tblHistory[Date],58),""),"")</f>
        <v/>
      </c>
      <c r="K59" s="43">
        <f>IF(J59="",NA(),IFERROR(INDEX(tblHistory[EquityP],58),NA()))</f>
        <v/>
      </c>
      <c r="L59" s="43">
        <f>IF(J59="",NA(),IFERROR(INDEX(tblHistory[FinP],58),NA()))</f>
        <v/>
      </c>
      <c r="M59" s="43">
        <f>IF(J59="",NA(),IFERROR(INDEX(tblHistory[CreditP],58),NA()))</f>
        <v/>
      </c>
      <c r="N59" s="43">
        <f>IF(J59="",NA(),IFERROR(INDEX(tblHistory[Score],58),NA()))</f>
        <v/>
      </c>
    </row>
    <row r="60">
      <c r="J60" s="45">
        <f>IFERROR(IF(INDEX(tblHistory[Date],59)&gt;MAX(tblHistory[Date])-364,INDEX(tblHistory[Date],59),""),"")</f>
        <v/>
      </c>
      <c r="K60" s="43">
        <f>IF(J60="",NA(),IFERROR(INDEX(tblHistory[EquityP],59),NA()))</f>
        <v/>
      </c>
      <c r="L60" s="43">
        <f>IF(J60="",NA(),IFERROR(INDEX(tblHistory[FinP],59),NA()))</f>
        <v/>
      </c>
      <c r="M60" s="43">
        <f>IF(J60="",NA(),IFERROR(INDEX(tblHistory[CreditP],59),NA()))</f>
        <v/>
      </c>
      <c r="N60" s="43">
        <f>IF(J60="",NA(),IFERROR(INDEX(tblHistory[Score],59),NA()))</f>
        <v/>
      </c>
    </row>
    <row r="61">
      <c r="J61" s="45">
        <f>IFERROR(IF(INDEX(tblHistory[Date],60)&gt;MAX(tblHistory[Date])-364,INDEX(tblHistory[Date],60),""),"")</f>
        <v/>
      </c>
      <c r="K61" s="43">
        <f>IF(J61="",NA(),IFERROR(INDEX(tblHistory[EquityP],60),NA()))</f>
        <v/>
      </c>
      <c r="L61" s="43">
        <f>IF(J61="",NA(),IFERROR(INDEX(tblHistory[FinP],60),NA()))</f>
        <v/>
      </c>
      <c r="M61" s="43">
        <f>IF(J61="",NA(),IFERROR(INDEX(tblHistory[CreditP],60),NA()))</f>
        <v/>
      </c>
      <c r="N61" s="43">
        <f>IF(J61="",NA(),IFERROR(INDEX(tblHistory[Score],60),NA()))</f>
        <v/>
      </c>
    </row>
    <row r="62">
      <c r="J62" s="45">
        <f>IFERROR(IF(INDEX(tblHistory[Date],61)&gt;MAX(tblHistory[Date])-364,INDEX(tblHistory[Date],61),""),"")</f>
        <v/>
      </c>
      <c r="K62" s="43">
        <f>IF(J62="",NA(),IFERROR(INDEX(tblHistory[EquityP],61),NA()))</f>
        <v/>
      </c>
      <c r="L62" s="43">
        <f>IF(J62="",NA(),IFERROR(INDEX(tblHistory[FinP],61),NA()))</f>
        <v/>
      </c>
      <c r="M62" s="43">
        <f>IF(J62="",NA(),IFERROR(INDEX(tblHistory[CreditP],61),NA()))</f>
        <v/>
      </c>
      <c r="N62" s="43">
        <f>IF(J62="",NA(),IFERROR(INDEX(tblHistory[Score],61),NA()))</f>
        <v/>
      </c>
    </row>
    <row r="63">
      <c r="J63" s="45">
        <f>IFERROR(IF(INDEX(tblHistory[Date],62)&gt;MAX(tblHistory[Date])-364,INDEX(tblHistory[Date],62),""),"")</f>
        <v/>
      </c>
      <c r="K63" s="43">
        <f>IF(J63="",NA(),IFERROR(INDEX(tblHistory[EquityP],62),NA()))</f>
        <v/>
      </c>
      <c r="L63" s="43">
        <f>IF(J63="",NA(),IFERROR(INDEX(tblHistory[FinP],62),NA()))</f>
        <v/>
      </c>
      <c r="M63" s="43">
        <f>IF(J63="",NA(),IFERROR(INDEX(tblHistory[CreditP],62),NA()))</f>
        <v/>
      </c>
      <c r="N63" s="43">
        <f>IF(J63="",NA(),IFERROR(INDEX(tblHistory[Score],62),NA()))</f>
        <v/>
      </c>
    </row>
    <row r="64">
      <c r="J64" s="45">
        <f>IFERROR(IF(INDEX(tblHistory[Date],63)&gt;MAX(tblHistory[Date])-364,INDEX(tblHistory[Date],63),""),"")</f>
        <v/>
      </c>
      <c r="K64" s="43">
        <f>IF(J64="",NA(),IFERROR(INDEX(tblHistory[EquityP],63),NA()))</f>
        <v/>
      </c>
      <c r="L64" s="43">
        <f>IF(J64="",NA(),IFERROR(INDEX(tblHistory[FinP],63),NA()))</f>
        <v/>
      </c>
      <c r="M64" s="43">
        <f>IF(J64="",NA(),IFERROR(INDEX(tblHistory[CreditP],63),NA()))</f>
        <v/>
      </c>
      <c r="N64" s="43">
        <f>IF(J64="",NA(),IFERROR(INDEX(tblHistory[Score],63),NA()))</f>
        <v/>
      </c>
    </row>
    <row r="65">
      <c r="J65" s="45">
        <f>IFERROR(IF(INDEX(tblHistory[Date],64)&gt;MAX(tblHistory[Date])-364,INDEX(tblHistory[Date],64),""),"")</f>
        <v/>
      </c>
      <c r="K65" s="43">
        <f>IF(J65="",NA(),IFERROR(INDEX(tblHistory[EquityP],64),NA()))</f>
        <v/>
      </c>
      <c r="L65" s="43">
        <f>IF(J65="",NA(),IFERROR(INDEX(tblHistory[FinP],64),NA()))</f>
        <v/>
      </c>
      <c r="M65" s="43">
        <f>IF(J65="",NA(),IFERROR(INDEX(tblHistory[CreditP],64),NA()))</f>
        <v/>
      </c>
      <c r="N65" s="43">
        <f>IF(J65="",NA(),IFERROR(INDEX(tblHistory[Score],64),NA()))</f>
        <v/>
      </c>
    </row>
    <row r="66">
      <c r="J66" s="45">
        <f>IFERROR(IF(INDEX(tblHistory[Date],65)&gt;MAX(tblHistory[Date])-364,INDEX(tblHistory[Date],65),""),"")</f>
        <v/>
      </c>
      <c r="K66" s="43">
        <f>IF(J66="",NA(),IFERROR(INDEX(tblHistory[EquityP],65),NA()))</f>
        <v/>
      </c>
      <c r="L66" s="43">
        <f>IF(J66="",NA(),IFERROR(INDEX(tblHistory[FinP],65),NA()))</f>
        <v/>
      </c>
      <c r="M66" s="43">
        <f>IF(J66="",NA(),IFERROR(INDEX(tblHistory[CreditP],65),NA()))</f>
        <v/>
      </c>
      <c r="N66" s="43">
        <f>IF(J66="",NA(),IFERROR(INDEX(tblHistory[Score],65),NA()))</f>
        <v/>
      </c>
    </row>
    <row r="67">
      <c r="J67" s="45">
        <f>IFERROR(IF(INDEX(tblHistory[Date],66)&gt;MAX(tblHistory[Date])-364,INDEX(tblHistory[Date],66),""),"")</f>
        <v/>
      </c>
      <c r="K67" s="43">
        <f>IF(J67="",NA(),IFERROR(INDEX(tblHistory[EquityP],66),NA()))</f>
        <v/>
      </c>
      <c r="L67" s="43">
        <f>IF(J67="",NA(),IFERROR(INDEX(tblHistory[FinP],66),NA()))</f>
        <v/>
      </c>
      <c r="M67" s="43">
        <f>IF(J67="",NA(),IFERROR(INDEX(tblHistory[CreditP],66),NA()))</f>
        <v/>
      </c>
      <c r="N67" s="43">
        <f>IF(J67="",NA(),IFERROR(INDEX(tblHistory[Score],66),NA()))</f>
        <v/>
      </c>
    </row>
    <row r="68">
      <c r="J68" s="45">
        <f>IFERROR(IF(INDEX(tblHistory[Date],67)&gt;MAX(tblHistory[Date])-364,INDEX(tblHistory[Date],67),""),"")</f>
        <v/>
      </c>
      <c r="K68" s="43">
        <f>IF(J68="",NA(),IFERROR(INDEX(tblHistory[EquityP],67),NA()))</f>
        <v/>
      </c>
      <c r="L68" s="43">
        <f>IF(J68="",NA(),IFERROR(INDEX(tblHistory[FinP],67),NA()))</f>
        <v/>
      </c>
      <c r="M68" s="43">
        <f>IF(J68="",NA(),IFERROR(INDEX(tblHistory[CreditP],67),NA()))</f>
        <v/>
      </c>
      <c r="N68" s="43">
        <f>IF(J68="",NA(),IFERROR(INDEX(tblHistory[Score],67),NA()))</f>
        <v/>
      </c>
    </row>
    <row r="69">
      <c r="J69" s="45">
        <f>IFERROR(IF(INDEX(tblHistory[Date],68)&gt;MAX(tblHistory[Date])-364,INDEX(tblHistory[Date],68),""),"")</f>
        <v/>
      </c>
      <c r="K69" s="43">
        <f>IF(J69="",NA(),IFERROR(INDEX(tblHistory[EquityP],68),NA()))</f>
        <v/>
      </c>
      <c r="L69" s="43">
        <f>IF(J69="",NA(),IFERROR(INDEX(tblHistory[FinP],68),NA()))</f>
        <v/>
      </c>
      <c r="M69" s="43">
        <f>IF(J69="",NA(),IFERROR(INDEX(tblHistory[CreditP],68),NA()))</f>
        <v/>
      </c>
      <c r="N69" s="43">
        <f>IF(J69="",NA(),IFERROR(INDEX(tblHistory[Score],68),NA()))</f>
        <v/>
      </c>
    </row>
    <row r="70">
      <c r="J70" s="45">
        <f>IFERROR(IF(INDEX(tblHistory[Date],69)&gt;MAX(tblHistory[Date])-364,INDEX(tblHistory[Date],69),""),"")</f>
        <v/>
      </c>
      <c r="K70" s="43">
        <f>IF(J70="",NA(),IFERROR(INDEX(tblHistory[EquityP],69),NA()))</f>
        <v/>
      </c>
      <c r="L70" s="43">
        <f>IF(J70="",NA(),IFERROR(INDEX(tblHistory[FinP],69),NA()))</f>
        <v/>
      </c>
      <c r="M70" s="43">
        <f>IF(J70="",NA(),IFERROR(INDEX(tblHistory[CreditP],69),NA()))</f>
        <v/>
      </c>
      <c r="N70" s="43">
        <f>IF(J70="",NA(),IFERROR(INDEX(tblHistory[Score],69),NA()))</f>
        <v/>
      </c>
    </row>
    <row r="71">
      <c r="J71" s="45">
        <f>IFERROR(IF(INDEX(tblHistory[Date],70)&gt;MAX(tblHistory[Date])-364,INDEX(tblHistory[Date],70),""),"")</f>
        <v/>
      </c>
      <c r="K71" s="43">
        <f>IF(J71="",NA(),IFERROR(INDEX(tblHistory[EquityP],70),NA()))</f>
        <v/>
      </c>
      <c r="L71" s="43">
        <f>IF(J71="",NA(),IFERROR(INDEX(tblHistory[FinP],70),NA()))</f>
        <v/>
      </c>
      <c r="M71" s="43">
        <f>IF(J71="",NA(),IFERROR(INDEX(tblHistory[CreditP],70),NA()))</f>
        <v/>
      </c>
      <c r="N71" s="43">
        <f>IF(J71="",NA(),IFERROR(INDEX(tblHistory[Score],70),NA()))</f>
        <v/>
      </c>
    </row>
    <row r="72">
      <c r="J72" s="45">
        <f>IFERROR(IF(INDEX(tblHistory[Date],71)&gt;MAX(tblHistory[Date])-364,INDEX(tblHistory[Date],71),""),"")</f>
        <v/>
      </c>
      <c r="K72" s="43">
        <f>IF(J72="",NA(),IFERROR(INDEX(tblHistory[EquityP],71),NA()))</f>
        <v/>
      </c>
      <c r="L72" s="43">
        <f>IF(J72="",NA(),IFERROR(INDEX(tblHistory[FinP],71),NA()))</f>
        <v/>
      </c>
      <c r="M72" s="43">
        <f>IF(J72="",NA(),IFERROR(INDEX(tblHistory[CreditP],71),NA()))</f>
        <v/>
      </c>
      <c r="N72" s="43">
        <f>IF(J72="",NA(),IFERROR(INDEX(tblHistory[Score],71),NA()))</f>
        <v/>
      </c>
    </row>
    <row r="73">
      <c r="J73" s="45">
        <f>IFERROR(IF(INDEX(tblHistory[Date],72)&gt;MAX(tblHistory[Date])-364,INDEX(tblHistory[Date],72),""),"")</f>
        <v/>
      </c>
      <c r="K73" s="43">
        <f>IF(J73="",NA(),IFERROR(INDEX(tblHistory[EquityP],72),NA()))</f>
        <v/>
      </c>
      <c r="L73" s="43">
        <f>IF(J73="",NA(),IFERROR(INDEX(tblHistory[FinP],72),NA()))</f>
        <v/>
      </c>
      <c r="M73" s="43">
        <f>IF(J73="",NA(),IFERROR(INDEX(tblHistory[CreditP],72),NA()))</f>
        <v/>
      </c>
      <c r="N73" s="43">
        <f>IF(J73="",NA(),IFERROR(INDEX(tblHistory[Score],72),NA()))</f>
        <v/>
      </c>
    </row>
    <row r="74">
      <c r="J74" s="45">
        <f>IFERROR(IF(INDEX(tblHistory[Date],73)&gt;MAX(tblHistory[Date])-364,INDEX(tblHistory[Date],73),""),"")</f>
        <v/>
      </c>
      <c r="K74" s="43">
        <f>IF(J74="",NA(),IFERROR(INDEX(tblHistory[EquityP],73),NA()))</f>
        <v/>
      </c>
      <c r="L74" s="43">
        <f>IF(J74="",NA(),IFERROR(INDEX(tblHistory[FinP],73),NA()))</f>
        <v/>
      </c>
      <c r="M74" s="43">
        <f>IF(J74="",NA(),IFERROR(INDEX(tblHistory[CreditP],73),NA()))</f>
        <v/>
      </c>
      <c r="N74" s="43">
        <f>IF(J74="",NA(),IFERROR(INDEX(tblHistory[Score],73),NA()))</f>
        <v/>
      </c>
    </row>
    <row r="75">
      <c r="J75" s="45">
        <f>IFERROR(IF(INDEX(tblHistory[Date],74)&gt;MAX(tblHistory[Date])-364,INDEX(tblHistory[Date],74),""),"")</f>
        <v/>
      </c>
      <c r="K75" s="43">
        <f>IF(J75="",NA(),IFERROR(INDEX(tblHistory[EquityP],74),NA()))</f>
        <v/>
      </c>
      <c r="L75" s="43">
        <f>IF(J75="",NA(),IFERROR(INDEX(tblHistory[FinP],74),NA()))</f>
        <v/>
      </c>
      <c r="M75" s="43">
        <f>IF(J75="",NA(),IFERROR(INDEX(tblHistory[CreditP],74),NA()))</f>
        <v/>
      </c>
      <c r="N75" s="43">
        <f>IF(J75="",NA(),IFERROR(INDEX(tblHistory[Score],74),NA()))</f>
        <v/>
      </c>
    </row>
    <row r="76">
      <c r="J76" s="45">
        <f>IFERROR(IF(INDEX(tblHistory[Date],75)&gt;MAX(tblHistory[Date])-364,INDEX(tblHistory[Date],75),""),"")</f>
        <v/>
      </c>
      <c r="K76" s="43">
        <f>IF(J76="",NA(),IFERROR(INDEX(tblHistory[EquityP],75),NA()))</f>
        <v/>
      </c>
      <c r="L76" s="43">
        <f>IF(J76="",NA(),IFERROR(INDEX(tblHistory[FinP],75),NA()))</f>
        <v/>
      </c>
      <c r="M76" s="43">
        <f>IF(J76="",NA(),IFERROR(INDEX(tblHistory[CreditP],75),NA()))</f>
        <v/>
      </c>
      <c r="N76" s="43">
        <f>IF(J76="",NA(),IFERROR(INDEX(tblHistory[Score],75),NA()))</f>
        <v/>
      </c>
    </row>
    <row r="77">
      <c r="J77" s="45">
        <f>IFERROR(IF(INDEX(tblHistory[Date],76)&gt;MAX(tblHistory[Date])-364,INDEX(tblHistory[Date],76),""),"")</f>
        <v/>
      </c>
      <c r="K77" s="43">
        <f>IF(J77="",NA(),IFERROR(INDEX(tblHistory[EquityP],76),NA()))</f>
        <v/>
      </c>
      <c r="L77" s="43">
        <f>IF(J77="",NA(),IFERROR(INDEX(tblHistory[FinP],76),NA()))</f>
        <v/>
      </c>
      <c r="M77" s="43">
        <f>IF(J77="",NA(),IFERROR(INDEX(tblHistory[CreditP],76),NA()))</f>
        <v/>
      </c>
      <c r="N77" s="43">
        <f>IF(J77="",NA(),IFERROR(INDEX(tblHistory[Score],76),NA()))</f>
        <v/>
      </c>
    </row>
    <row r="78">
      <c r="J78" s="45">
        <f>IFERROR(IF(INDEX(tblHistory[Date],77)&gt;MAX(tblHistory[Date])-364,INDEX(tblHistory[Date],77),""),"")</f>
        <v/>
      </c>
      <c r="K78" s="43">
        <f>IF(J78="",NA(),IFERROR(INDEX(tblHistory[EquityP],77),NA()))</f>
        <v/>
      </c>
      <c r="L78" s="43">
        <f>IF(J78="",NA(),IFERROR(INDEX(tblHistory[FinP],77),NA()))</f>
        <v/>
      </c>
      <c r="M78" s="43">
        <f>IF(J78="",NA(),IFERROR(INDEX(tblHistory[CreditP],77),NA()))</f>
        <v/>
      </c>
      <c r="N78" s="43">
        <f>IF(J78="",NA(),IFERROR(INDEX(tblHistory[Score],77),NA()))</f>
        <v/>
      </c>
    </row>
    <row r="79">
      <c r="J79" s="45">
        <f>IFERROR(IF(INDEX(tblHistory[Date],78)&gt;MAX(tblHistory[Date])-364,INDEX(tblHistory[Date],78),""),"")</f>
        <v/>
      </c>
      <c r="K79" s="43">
        <f>IF(J79="",NA(),IFERROR(INDEX(tblHistory[EquityP],78),NA()))</f>
        <v/>
      </c>
      <c r="L79" s="43">
        <f>IF(J79="",NA(),IFERROR(INDEX(tblHistory[FinP],78),NA()))</f>
        <v/>
      </c>
      <c r="M79" s="43">
        <f>IF(J79="",NA(),IFERROR(INDEX(tblHistory[CreditP],78),NA()))</f>
        <v/>
      </c>
      <c r="N79" s="43">
        <f>IF(J79="",NA(),IFERROR(INDEX(tblHistory[Score],78),NA()))</f>
        <v/>
      </c>
    </row>
    <row r="80">
      <c r="J80" s="45">
        <f>IFERROR(IF(INDEX(tblHistory[Date],79)&gt;MAX(tblHistory[Date])-364,INDEX(tblHistory[Date],79),""),"")</f>
        <v/>
      </c>
      <c r="K80" s="43">
        <f>IF(J80="",NA(),IFERROR(INDEX(tblHistory[EquityP],79),NA()))</f>
        <v/>
      </c>
      <c r="L80" s="43">
        <f>IF(J80="",NA(),IFERROR(INDEX(tblHistory[FinP],79),NA()))</f>
        <v/>
      </c>
      <c r="M80" s="43">
        <f>IF(J80="",NA(),IFERROR(INDEX(tblHistory[CreditP],79),NA()))</f>
        <v/>
      </c>
      <c r="N80" s="43">
        <f>IF(J80="",NA(),IFERROR(INDEX(tblHistory[Score],79),NA()))</f>
        <v/>
      </c>
    </row>
    <row r="81">
      <c r="J81" s="45">
        <f>IFERROR(IF(INDEX(tblHistory[Date],80)&gt;MAX(tblHistory[Date])-364,INDEX(tblHistory[Date],80),""),"")</f>
        <v/>
      </c>
      <c r="K81" s="43">
        <f>IF(J81="",NA(),IFERROR(INDEX(tblHistory[EquityP],80),NA()))</f>
        <v/>
      </c>
      <c r="L81" s="43">
        <f>IF(J81="",NA(),IFERROR(INDEX(tblHistory[FinP],80),NA()))</f>
        <v/>
      </c>
      <c r="M81" s="43">
        <f>IF(J81="",NA(),IFERROR(INDEX(tblHistory[CreditP],80),NA()))</f>
        <v/>
      </c>
      <c r="N81" s="43">
        <f>IF(J81="",NA(),IFERROR(INDEX(tblHistory[Score],80),NA()))</f>
        <v/>
      </c>
    </row>
    <row r="82">
      <c r="J82" s="45">
        <f>IFERROR(IF(INDEX(tblHistory[Date],81)&gt;MAX(tblHistory[Date])-364,INDEX(tblHistory[Date],81),""),"")</f>
        <v/>
      </c>
      <c r="K82" s="43">
        <f>IF(J82="",NA(),IFERROR(INDEX(tblHistory[EquityP],81),NA()))</f>
        <v/>
      </c>
      <c r="L82" s="43">
        <f>IF(J82="",NA(),IFERROR(INDEX(tblHistory[FinP],81),NA()))</f>
        <v/>
      </c>
      <c r="M82" s="43">
        <f>IF(J82="",NA(),IFERROR(INDEX(tblHistory[CreditP],81),NA()))</f>
        <v/>
      </c>
      <c r="N82" s="43">
        <f>IF(J82="",NA(),IFERROR(INDEX(tblHistory[Score],81),NA()))</f>
        <v/>
      </c>
    </row>
    <row r="83">
      <c r="J83" s="45">
        <f>IFERROR(IF(INDEX(tblHistory[Date],82)&gt;MAX(tblHistory[Date])-364,INDEX(tblHistory[Date],82),""),"")</f>
        <v/>
      </c>
      <c r="K83" s="43">
        <f>IF(J83="",NA(),IFERROR(INDEX(tblHistory[EquityP],82),NA()))</f>
        <v/>
      </c>
      <c r="L83" s="43">
        <f>IF(J83="",NA(),IFERROR(INDEX(tblHistory[FinP],82),NA()))</f>
        <v/>
      </c>
      <c r="M83" s="43">
        <f>IF(J83="",NA(),IFERROR(INDEX(tblHistory[CreditP],82),NA()))</f>
        <v/>
      </c>
      <c r="N83" s="43">
        <f>IF(J83="",NA(),IFERROR(INDEX(tblHistory[Score],82),NA()))</f>
        <v/>
      </c>
    </row>
    <row r="84">
      <c r="J84" s="45">
        <f>IFERROR(IF(INDEX(tblHistory[Date],83)&gt;MAX(tblHistory[Date])-364,INDEX(tblHistory[Date],83),""),"")</f>
        <v/>
      </c>
      <c r="K84" s="43">
        <f>IF(J84="",NA(),IFERROR(INDEX(tblHistory[EquityP],83),NA()))</f>
        <v/>
      </c>
      <c r="L84" s="43">
        <f>IF(J84="",NA(),IFERROR(INDEX(tblHistory[FinP],83),NA()))</f>
        <v/>
      </c>
      <c r="M84" s="43">
        <f>IF(J84="",NA(),IFERROR(INDEX(tblHistory[CreditP],83),NA()))</f>
        <v/>
      </c>
      <c r="N84" s="43">
        <f>IF(J84="",NA(),IFERROR(INDEX(tblHistory[Score],83),NA()))</f>
        <v/>
      </c>
    </row>
    <row r="85">
      <c r="J85" s="45">
        <f>IFERROR(IF(INDEX(tblHistory[Date],84)&gt;MAX(tblHistory[Date])-364,INDEX(tblHistory[Date],84),""),"")</f>
        <v/>
      </c>
      <c r="K85" s="43">
        <f>IF(J85="",NA(),IFERROR(INDEX(tblHistory[EquityP],84),NA()))</f>
        <v/>
      </c>
      <c r="L85" s="43">
        <f>IF(J85="",NA(),IFERROR(INDEX(tblHistory[FinP],84),NA()))</f>
        <v/>
      </c>
      <c r="M85" s="43">
        <f>IF(J85="",NA(),IFERROR(INDEX(tblHistory[CreditP],84),NA()))</f>
        <v/>
      </c>
      <c r="N85" s="43">
        <f>IF(J85="",NA(),IFERROR(INDEX(tblHistory[Score],84),NA()))</f>
        <v/>
      </c>
    </row>
    <row r="86">
      <c r="J86" s="45">
        <f>IFERROR(IF(INDEX(tblHistory[Date],85)&gt;MAX(tblHistory[Date])-364,INDEX(tblHistory[Date],85),""),"")</f>
        <v/>
      </c>
      <c r="K86" s="43">
        <f>IF(J86="",NA(),IFERROR(INDEX(tblHistory[EquityP],85),NA()))</f>
        <v/>
      </c>
      <c r="L86" s="43">
        <f>IF(J86="",NA(),IFERROR(INDEX(tblHistory[FinP],85),NA()))</f>
        <v/>
      </c>
      <c r="M86" s="43">
        <f>IF(J86="",NA(),IFERROR(INDEX(tblHistory[CreditP],85),NA()))</f>
        <v/>
      </c>
      <c r="N86" s="43">
        <f>IF(J86="",NA(),IFERROR(INDEX(tblHistory[Score],85),NA()))</f>
        <v/>
      </c>
    </row>
    <row r="87">
      <c r="J87" s="45">
        <f>IFERROR(IF(INDEX(tblHistory[Date],86)&gt;MAX(tblHistory[Date])-364,INDEX(tblHistory[Date],86),""),"")</f>
        <v/>
      </c>
      <c r="K87" s="43">
        <f>IF(J87="",NA(),IFERROR(INDEX(tblHistory[EquityP],86),NA()))</f>
        <v/>
      </c>
      <c r="L87" s="43">
        <f>IF(J87="",NA(),IFERROR(INDEX(tblHistory[FinP],86),NA()))</f>
        <v/>
      </c>
      <c r="M87" s="43">
        <f>IF(J87="",NA(),IFERROR(INDEX(tblHistory[CreditP],86),NA()))</f>
        <v/>
      </c>
      <c r="N87" s="43">
        <f>IF(J87="",NA(),IFERROR(INDEX(tblHistory[Score],86),NA()))</f>
        <v/>
      </c>
    </row>
    <row r="88">
      <c r="J88" s="45">
        <f>IFERROR(IF(INDEX(tblHistory[Date],87)&gt;MAX(tblHistory[Date])-364,INDEX(tblHistory[Date],87),""),"")</f>
        <v/>
      </c>
      <c r="K88" s="43">
        <f>IF(J88="",NA(),IFERROR(INDEX(tblHistory[EquityP],87),NA()))</f>
        <v/>
      </c>
      <c r="L88" s="43">
        <f>IF(J88="",NA(),IFERROR(INDEX(tblHistory[FinP],87),NA()))</f>
        <v/>
      </c>
      <c r="M88" s="43">
        <f>IF(J88="",NA(),IFERROR(INDEX(tblHistory[CreditP],87),NA()))</f>
        <v/>
      </c>
      <c r="N88" s="43">
        <f>IF(J88="",NA(),IFERROR(INDEX(tblHistory[Score],87),NA()))</f>
        <v/>
      </c>
    </row>
    <row r="89">
      <c r="J89" s="45">
        <f>IFERROR(IF(INDEX(tblHistory[Date],88)&gt;MAX(tblHistory[Date])-364,INDEX(tblHistory[Date],88),""),"")</f>
        <v/>
      </c>
      <c r="K89" s="43">
        <f>IF(J89="",NA(),IFERROR(INDEX(tblHistory[EquityP],88),NA()))</f>
        <v/>
      </c>
      <c r="L89" s="43">
        <f>IF(J89="",NA(),IFERROR(INDEX(tblHistory[FinP],88),NA()))</f>
        <v/>
      </c>
      <c r="M89" s="43">
        <f>IF(J89="",NA(),IFERROR(INDEX(tblHistory[CreditP],88),NA()))</f>
        <v/>
      </c>
      <c r="N89" s="43">
        <f>IF(J89="",NA(),IFERROR(INDEX(tblHistory[Score],88),NA()))</f>
        <v/>
      </c>
    </row>
    <row r="90">
      <c r="J90" s="45">
        <f>IFERROR(IF(INDEX(tblHistory[Date],89)&gt;MAX(tblHistory[Date])-364,INDEX(tblHistory[Date],89),""),"")</f>
        <v/>
      </c>
      <c r="K90" s="43">
        <f>IF(J90="",NA(),IFERROR(INDEX(tblHistory[EquityP],89),NA()))</f>
        <v/>
      </c>
      <c r="L90" s="43">
        <f>IF(J90="",NA(),IFERROR(INDEX(tblHistory[FinP],89),NA()))</f>
        <v/>
      </c>
      <c r="M90" s="43">
        <f>IF(J90="",NA(),IFERROR(INDEX(tblHistory[CreditP],89),NA()))</f>
        <v/>
      </c>
      <c r="N90" s="43">
        <f>IF(J90="",NA(),IFERROR(INDEX(tblHistory[Score],89),NA()))</f>
        <v/>
      </c>
    </row>
    <row r="91">
      <c r="J91" s="45">
        <f>IFERROR(IF(INDEX(tblHistory[Date],90)&gt;MAX(tblHistory[Date])-364,INDEX(tblHistory[Date],90),""),"")</f>
        <v/>
      </c>
      <c r="K91" s="43">
        <f>IF(J91="",NA(),IFERROR(INDEX(tblHistory[EquityP],90),NA()))</f>
        <v/>
      </c>
      <c r="L91" s="43">
        <f>IF(J91="",NA(),IFERROR(INDEX(tblHistory[FinP],90),NA()))</f>
        <v/>
      </c>
      <c r="M91" s="43">
        <f>IF(J91="",NA(),IFERROR(INDEX(tblHistory[CreditP],90),NA()))</f>
        <v/>
      </c>
      <c r="N91" s="43">
        <f>IF(J91="",NA(),IFERROR(INDEX(tblHistory[Score],90),NA()))</f>
        <v/>
      </c>
    </row>
    <row r="92">
      <c r="J92" s="45">
        <f>IFERROR(IF(INDEX(tblHistory[Date],91)&gt;MAX(tblHistory[Date])-364,INDEX(tblHistory[Date],91),""),"")</f>
        <v/>
      </c>
      <c r="K92" s="43">
        <f>IF(J92="",NA(),IFERROR(INDEX(tblHistory[EquityP],91),NA()))</f>
        <v/>
      </c>
      <c r="L92" s="43">
        <f>IF(J92="",NA(),IFERROR(INDEX(tblHistory[FinP],91),NA()))</f>
        <v/>
      </c>
      <c r="M92" s="43">
        <f>IF(J92="",NA(),IFERROR(INDEX(tblHistory[CreditP],91),NA()))</f>
        <v/>
      </c>
      <c r="N92" s="43">
        <f>IF(J92="",NA(),IFERROR(INDEX(tblHistory[Score],91),NA()))</f>
        <v/>
      </c>
    </row>
    <row r="93">
      <c r="J93" s="45">
        <f>IFERROR(IF(INDEX(tblHistory[Date],92)&gt;MAX(tblHistory[Date])-364,INDEX(tblHistory[Date],92),""),"")</f>
        <v/>
      </c>
      <c r="K93" s="43">
        <f>IF(J93="",NA(),IFERROR(INDEX(tblHistory[EquityP],92),NA()))</f>
        <v/>
      </c>
      <c r="L93" s="43">
        <f>IF(J93="",NA(),IFERROR(INDEX(tblHistory[FinP],92),NA()))</f>
        <v/>
      </c>
      <c r="M93" s="43">
        <f>IF(J93="",NA(),IFERROR(INDEX(tblHistory[CreditP],92),NA()))</f>
        <v/>
      </c>
      <c r="N93" s="43">
        <f>IF(J93="",NA(),IFERROR(INDEX(tblHistory[Score],92),NA()))</f>
        <v/>
      </c>
    </row>
    <row r="94">
      <c r="J94" s="45">
        <f>IFERROR(IF(INDEX(tblHistory[Date],93)&gt;MAX(tblHistory[Date])-364,INDEX(tblHistory[Date],93),""),"")</f>
        <v/>
      </c>
      <c r="K94" s="43">
        <f>IF(J94="",NA(),IFERROR(INDEX(tblHistory[EquityP],93),NA()))</f>
        <v/>
      </c>
      <c r="L94" s="43">
        <f>IF(J94="",NA(),IFERROR(INDEX(tblHistory[FinP],93),NA()))</f>
        <v/>
      </c>
      <c r="M94" s="43">
        <f>IF(J94="",NA(),IFERROR(INDEX(tblHistory[CreditP],93),NA()))</f>
        <v/>
      </c>
      <c r="N94" s="43">
        <f>IF(J94="",NA(),IFERROR(INDEX(tblHistory[Score],93),NA()))</f>
        <v/>
      </c>
    </row>
    <row r="95">
      <c r="J95" s="45">
        <f>IFERROR(IF(INDEX(tblHistory[Date],94)&gt;MAX(tblHistory[Date])-364,INDEX(tblHistory[Date],94),""),"")</f>
        <v/>
      </c>
      <c r="K95" s="43">
        <f>IF(J95="",NA(),IFERROR(INDEX(tblHistory[EquityP],94),NA()))</f>
        <v/>
      </c>
      <c r="L95" s="43">
        <f>IF(J95="",NA(),IFERROR(INDEX(tblHistory[FinP],94),NA()))</f>
        <v/>
      </c>
      <c r="M95" s="43">
        <f>IF(J95="",NA(),IFERROR(INDEX(tblHistory[CreditP],94),NA()))</f>
        <v/>
      </c>
      <c r="N95" s="43">
        <f>IF(J95="",NA(),IFERROR(INDEX(tblHistory[Score],94),NA()))</f>
        <v/>
      </c>
    </row>
    <row r="96">
      <c r="J96" s="45">
        <f>IFERROR(IF(INDEX(tblHistory[Date],95)&gt;MAX(tblHistory[Date])-364,INDEX(tblHistory[Date],95),""),"")</f>
        <v/>
      </c>
      <c r="K96" s="43">
        <f>IF(J96="",NA(),IFERROR(INDEX(tblHistory[EquityP],95),NA()))</f>
        <v/>
      </c>
      <c r="L96" s="43">
        <f>IF(J96="",NA(),IFERROR(INDEX(tblHistory[FinP],95),NA()))</f>
        <v/>
      </c>
      <c r="M96" s="43">
        <f>IF(J96="",NA(),IFERROR(INDEX(tblHistory[CreditP],95),NA()))</f>
        <v/>
      </c>
      <c r="N96" s="43">
        <f>IF(J96="",NA(),IFERROR(INDEX(tblHistory[Score],95),NA()))</f>
        <v/>
      </c>
    </row>
    <row r="97">
      <c r="J97" s="45">
        <f>IFERROR(IF(INDEX(tblHistory[Date],96)&gt;MAX(tblHistory[Date])-364,INDEX(tblHistory[Date],96),""),"")</f>
        <v/>
      </c>
      <c r="K97" s="43">
        <f>IF(J97="",NA(),IFERROR(INDEX(tblHistory[EquityP],96),NA()))</f>
        <v/>
      </c>
      <c r="L97" s="43">
        <f>IF(J97="",NA(),IFERROR(INDEX(tblHistory[FinP],96),NA()))</f>
        <v/>
      </c>
      <c r="M97" s="43">
        <f>IF(J97="",NA(),IFERROR(INDEX(tblHistory[CreditP],96),NA()))</f>
        <v/>
      </c>
      <c r="N97" s="43">
        <f>IF(J97="",NA(),IFERROR(INDEX(tblHistory[Score],96),NA()))</f>
        <v/>
      </c>
    </row>
    <row r="98">
      <c r="J98" s="45">
        <f>IFERROR(IF(INDEX(tblHistory[Date],97)&gt;MAX(tblHistory[Date])-364,INDEX(tblHistory[Date],97),""),"")</f>
        <v/>
      </c>
      <c r="K98" s="43">
        <f>IF(J98="",NA(),IFERROR(INDEX(tblHistory[EquityP],97),NA()))</f>
        <v/>
      </c>
      <c r="L98" s="43">
        <f>IF(J98="",NA(),IFERROR(INDEX(tblHistory[FinP],97),NA()))</f>
        <v/>
      </c>
      <c r="M98" s="43">
        <f>IF(J98="",NA(),IFERROR(INDEX(tblHistory[CreditP],97),NA()))</f>
        <v/>
      </c>
      <c r="N98" s="43">
        <f>IF(J98="",NA(),IFERROR(INDEX(tblHistory[Score],97),NA()))</f>
        <v/>
      </c>
    </row>
    <row r="99">
      <c r="J99" s="45">
        <f>IFERROR(IF(INDEX(tblHistory[Date],98)&gt;MAX(tblHistory[Date])-364,INDEX(tblHistory[Date],98),""),"")</f>
        <v/>
      </c>
      <c r="K99" s="43">
        <f>IF(J99="",NA(),IFERROR(INDEX(tblHistory[EquityP],98),NA()))</f>
        <v/>
      </c>
      <c r="L99" s="43">
        <f>IF(J99="",NA(),IFERROR(INDEX(tblHistory[FinP],98),NA()))</f>
        <v/>
      </c>
      <c r="M99" s="43">
        <f>IF(J99="",NA(),IFERROR(INDEX(tblHistory[CreditP],98),NA()))</f>
        <v/>
      </c>
      <c r="N99" s="43">
        <f>IF(J99="",NA(),IFERROR(INDEX(tblHistory[Score],98),NA()))</f>
        <v/>
      </c>
    </row>
    <row r="100">
      <c r="J100" s="45">
        <f>IFERROR(IF(INDEX(tblHistory[Date],99)&gt;MAX(tblHistory[Date])-364,INDEX(tblHistory[Date],99),""),"")</f>
        <v/>
      </c>
      <c r="K100" s="43">
        <f>IF(J100="",NA(),IFERROR(INDEX(tblHistory[EquityP],99),NA()))</f>
        <v/>
      </c>
      <c r="L100" s="43">
        <f>IF(J100="",NA(),IFERROR(INDEX(tblHistory[FinP],99),NA()))</f>
        <v/>
      </c>
      <c r="M100" s="43">
        <f>IF(J100="",NA(),IFERROR(INDEX(tblHistory[CreditP],99),NA()))</f>
        <v/>
      </c>
      <c r="N100" s="43">
        <f>IF(J100="",NA(),IFERROR(INDEX(tblHistory[Score],99),NA()))</f>
        <v/>
      </c>
    </row>
    <row r="101">
      <c r="J101" s="45">
        <f>IFERROR(IF(INDEX(tblHistory[Date],100)&gt;MAX(tblHistory[Date])-364,INDEX(tblHistory[Date],100),""),"")</f>
        <v/>
      </c>
      <c r="K101" s="43">
        <f>IF(J101="",NA(),IFERROR(INDEX(tblHistory[EquityP],100),NA()))</f>
        <v/>
      </c>
      <c r="L101" s="43">
        <f>IF(J101="",NA(),IFERROR(INDEX(tblHistory[FinP],100),NA()))</f>
        <v/>
      </c>
      <c r="M101" s="43">
        <f>IF(J101="",NA(),IFERROR(INDEX(tblHistory[CreditP],100),NA()))</f>
        <v/>
      </c>
      <c r="N101" s="43">
        <f>IF(J101="",NA(),IFERROR(INDEX(tblHistory[Score],100),NA()))</f>
        <v/>
      </c>
    </row>
    <row r="102">
      <c r="J102" s="45">
        <f>IFERROR(IF(INDEX(tblHistory[Date],101)&gt;MAX(tblHistory[Date])-364,INDEX(tblHistory[Date],101),""),"")</f>
        <v/>
      </c>
      <c r="K102" s="43">
        <f>IF(J102="",NA(),IFERROR(INDEX(tblHistory[EquityP],101),NA()))</f>
        <v/>
      </c>
      <c r="L102" s="43">
        <f>IF(J102="",NA(),IFERROR(INDEX(tblHistory[FinP],101),NA()))</f>
        <v/>
      </c>
      <c r="M102" s="43">
        <f>IF(J102="",NA(),IFERROR(INDEX(tblHistory[CreditP],101),NA()))</f>
        <v/>
      </c>
      <c r="N102" s="43">
        <f>IF(J102="",NA(),IFERROR(INDEX(tblHistory[Score],101),NA()))</f>
        <v/>
      </c>
    </row>
    <row r="103">
      <c r="J103" s="45">
        <f>IFERROR(IF(INDEX(tblHistory[Date],102)&gt;MAX(tblHistory[Date])-364,INDEX(tblHistory[Date],102),""),"")</f>
        <v/>
      </c>
      <c r="K103" s="43">
        <f>IF(J103="",NA(),IFERROR(INDEX(tblHistory[EquityP],102),NA()))</f>
        <v/>
      </c>
      <c r="L103" s="43">
        <f>IF(J103="",NA(),IFERROR(INDEX(tblHistory[FinP],102),NA()))</f>
        <v/>
      </c>
      <c r="M103" s="43">
        <f>IF(J103="",NA(),IFERROR(INDEX(tblHistory[CreditP],102),NA()))</f>
        <v/>
      </c>
      <c r="N103" s="43">
        <f>IF(J103="",NA(),IFERROR(INDEX(tblHistory[Score],102),NA()))</f>
        <v/>
      </c>
    </row>
    <row r="104">
      <c r="J104" s="45">
        <f>IFERROR(IF(INDEX(tblHistory[Date],103)&gt;MAX(tblHistory[Date])-364,INDEX(tblHistory[Date],103),""),"")</f>
        <v/>
      </c>
      <c r="K104" s="43">
        <f>IF(J104="",NA(),IFERROR(INDEX(tblHistory[EquityP],103),NA()))</f>
        <v/>
      </c>
      <c r="L104" s="43">
        <f>IF(J104="",NA(),IFERROR(INDEX(tblHistory[FinP],103),NA()))</f>
        <v/>
      </c>
      <c r="M104" s="43">
        <f>IF(J104="",NA(),IFERROR(INDEX(tblHistory[CreditP],103),NA()))</f>
        <v/>
      </c>
      <c r="N104" s="43">
        <f>IF(J104="",NA(),IFERROR(INDEX(tblHistory[Score],103),NA()))</f>
        <v/>
      </c>
    </row>
    <row r="105">
      <c r="J105" s="45">
        <f>IFERROR(IF(INDEX(tblHistory[Date],104)&gt;MAX(tblHistory[Date])-364,INDEX(tblHistory[Date],104),""),"")</f>
        <v/>
      </c>
      <c r="K105" s="43">
        <f>IF(J105="",NA(),IFERROR(INDEX(tblHistory[EquityP],104),NA()))</f>
        <v/>
      </c>
      <c r="L105" s="43">
        <f>IF(J105="",NA(),IFERROR(INDEX(tblHistory[FinP],104),NA()))</f>
        <v/>
      </c>
      <c r="M105" s="43">
        <f>IF(J105="",NA(),IFERROR(INDEX(tblHistory[CreditP],104),NA()))</f>
        <v/>
      </c>
      <c r="N105" s="43">
        <f>IF(J105="",NA(),IFERROR(INDEX(tblHistory[Score],104),NA()))</f>
        <v/>
      </c>
    </row>
    <row r="106">
      <c r="J106" s="45">
        <f>IFERROR(IF(INDEX(tblHistory[Date],105)&gt;MAX(tblHistory[Date])-364,INDEX(tblHistory[Date],105),""),"")</f>
        <v/>
      </c>
      <c r="K106" s="43">
        <f>IF(J106="",NA(),IFERROR(INDEX(tblHistory[EquityP],105),NA()))</f>
        <v/>
      </c>
      <c r="L106" s="43">
        <f>IF(J106="",NA(),IFERROR(INDEX(tblHistory[FinP],105),NA()))</f>
        <v/>
      </c>
      <c r="M106" s="43">
        <f>IF(J106="",NA(),IFERROR(INDEX(tblHistory[CreditP],105),NA()))</f>
        <v/>
      </c>
      <c r="N106" s="43">
        <f>IF(J106="",NA(),IFERROR(INDEX(tblHistory[Score],105),NA()))</f>
        <v/>
      </c>
    </row>
    <row r="107">
      <c r="J107" s="45">
        <f>IFERROR(IF(INDEX(tblHistory[Date],106)&gt;MAX(tblHistory[Date])-364,INDEX(tblHistory[Date],106),""),"")</f>
        <v/>
      </c>
      <c r="K107" s="43">
        <f>IF(J107="",NA(),IFERROR(INDEX(tblHistory[EquityP],106),NA()))</f>
        <v/>
      </c>
      <c r="L107" s="43">
        <f>IF(J107="",NA(),IFERROR(INDEX(tblHistory[FinP],106),NA()))</f>
        <v/>
      </c>
      <c r="M107" s="43">
        <f>IF(J107="",NA(),IFERROR(INDEX(tblHistory[CreditP],106),NA()))</f>
        <v/>
      </c>
      <c r="N107" s="43">
        <f>IF(J107="",NA(),IFERROR(INDEX(tblHistory[Score],106),NA()))</f>
        <v/>
      </c>
    </row>
    <row r="108">
      <c r="J108" s="45">
        <f>IFERROR(IF(INDEX(tblHistory[Date],107)&gt;MAX(tblHistory[Date])-364,INDEX(tblHistory[Date],107),""),"")</f>
        <v/>
      </c>
      <c r="K108" s="43">
        <f>IF(J108="",NA(),IFERROR(INDEX(tblHistory[EquityP],107),NA()))</f>
        <v/>
      </c>
      <c r="L108" s="43">
        <f>IF(J108="",NA(),IFERROR(INDEX(tblHistory[FinP],107),NA()))</f>
        <v/>
      </c>
      <c r="M108" s="43">
        <f>IF(J108="",NA(),IFERROR(INDEX(tblHistory[CreditP],107),NA()))</f>
        <v/>
      </c>
      <c r="N108" s="43">
        <f>IF(J108="",NA(),IFERROR(INDEX(tblHistory[Score],107),NA()))</f>
        <v/>
      </c>
    </row>
    <row r="109">
      <c r="J109" s="45">
        <f>IFERROR(IF(INDEX(tblHistory[Date],108)&gt;MAX(tblHistory[Date])-364,INDEX(tblHistory[Date],108),""),"")</f>
        <v/>
      </c>
      <c r="K109" s="43">
        <f>IF(J109="",NA(),IFERROR(INDEX(tblHistory[EquityP],108),NA()))</f>
        <v/>
      </c>
      <c r="L109" s="43">
        <f>IF(J109="",NA(),IFERROR(INDEX(tblHistory[FinP],108),NA()))</f>
        <v/>
      </c>
      <c r="M109" s="43">
        <f>IF(J109="",NA(),IFERROR(INDEX(tblHistory[CreditP],108),NA()))</f>
        <v/>
      </c>
      <c r="N109" s="43">
        <f>IF(J109="",NA(),IFERROR(INDEX(tblHistory[Score],108),NA()))</f>
        <v/>
      </c>
    </row>
    <row r="110">
      <c r="J110" s="45">
        <f>IFERROR(IF(INDEX(tblHistory[Date],109)&gt;MAX(tblHistory[Date])-364,INDEX(tblHistory[Date],109),""),"")</f>
        <v/>
      </c>
      <c r="K110" s="43">
        <f>IF(J110="",NA(),IFERROR(INDEX(tblHistory[EquityP],109),NA()))</f>
        <v/>
      </c>
      <c r="L110" s="43">
        <f>IF(J110="",NA(),IFERROR(INDEX(tblHistory[FinP],109),NA()))</f>
        <v/>
      </c>
      <c r="M110" s="43">
        <f>IF(J110="",NA(),IFERROR(INDEX(tblHistory[CreditP],109),NA()))</f>
        <v/>
      </c>
      <c r="N110" s="43">
        <f>IF(J110="",NA(),IFERROR(INDEX(tblHistory[Score],109),NA()))</f>
        <v/>
      </c>
    </row>
    <row r="111">
      <c r="J111" s="45">
        <f>IFERROR(IF(INDEX(tblHistory[Date],110)&gt;MAX(tblHistory[Date])-364,INDEX(tblHistory[Date],110),""),"")</f>
        <v/>
      </c>
      <c r="K111" s="43">
        <f>IF(J111="",NA(),IFERROR(INDEX(tblHistory[EquityP],110),NA()))</f>
        <v/>
      </c>
      <c r="L111" s="43">
        <f>IF(J111="",NA(),IFERROR(INDEX(tblHistory[FinP],110),NA()))</f>
        <v/>
      </c>
      <c r="M111" s="43">
        <f>IF(J111="",NA(),IFERROR(INDEX(tblHistory[CreditP],110),NA()))</f>
        <v/>
      </c>
      <c r="N111" s="43">
        <f>IF(J111="",NA(),IFERROR(INDEX(tblHistory[Score],110),NA()))</f>
        <v/>
      </c>
    </row>
    <row r="112">
      <c r="J112" s="45">
        <f>IFERROR(IF(INDEX(tblHistory[Date],111)&gt;MAX(tblHistory[Date])-364,INDEX(tblHistory[Date],111),""),"")</f>
        <v/>
      </c>
      <c r="K112" s="43">
        <f>IF(J112="",NA(),IFERROR(INDEX(tblHistory[EquityP],111),NA()))</f>
        <v/>
      </c>
      <c r="L112" s="43">
        <f>IF(J112="",NA(),IFERROR(INDEX(tblHistory[FinP],111),NA()))</f>
        <v/>
      </c>
      <c r="M112" s="43">
        <f>IF(J112="",NA(),IFERROR(INDEX(tblHistory[CreditP],111),NA()))</f>
        <v/>
      </c>
      <c r="N112" s="43">
        <f>IF(J112="",NA(),IFERROR(INDEX(tblHistory[Score],111),NA()))</f>
        <v/>
      </c>
    </row>
    <row r="113">
      <c r="J113" s="45">
        <f>IFERROR(IF(INDEX(tblHistory[Date],112)&gt;MAX(tblHistory[Date])-364,INDEX(tblHistory[Date],112),""),"")</f>
        <v/>
      </c>
      <c r="K113" s="43">
        <f>IF(J113="",NA(),IFERROR(INDEX(tblHistory[EquityP],112),NA()))</f>
        <v/>
      </c>
      <c r="L113" s="43">
        <f>IF(J113="",NA(),IFERROR(INDEX(tblHistory[FinP],112),NA()))</f>
        <v/>
      </c>
      <c r="M113" s="43">
        <f>IF(J113="",NA(),IFERROR(INDEX(tblHistory[CreditP],112),NA()))</f>
        <v/>
      </c>
      <c r="N113" s="43">
        <f>IF(J113="",NA(),IFERROR(INDEX(tblHistory[Score],112),NA()))</f>
        <v/>
      </c>
    </row>
    <row r="114">
      <c r="J114" s="45">
        <f>IFERROR(IF(INDEX(tblHistory[Date],113)&gt;MAX(tblHistory[Date])-364,INDEX(tblHistory[Date],113),""),"")</f>
        <v/>
      </c>
      <c r="K114" s="43">
        <f>IF(J114="",NA(),IFERROR(INDEX(tblHistory[EquityP],113),NA()))</f>
        <v/>
      </c>
      <c r="L114" s="43">
        <f>IF(J114="",NA(),IFERROR(INDEX(tblHistory[FinP],113),NA()))</f>
        <v/>
      </c>
      <c r="M114" s="43">
        <f>IF(J114="",NA(),IFERROR(INDEX(tblHistory[CreditP],113),NA()))</f>
        <v/>
      </c>
      <c r="N114" s="43">
        <f>IF(J114="",NA(),IFERROR(INDEX(tblHistory[Score],113),NA()))</f>
        <v/>
      </c>
    </row>
    <row r="115">
      <c r="J115" s="45">
        <f>IFERROR(IF(INDEX(tblHistory[Date],114)&gt;MAX(tblHistory[Date])-364,INDEX(tblHistory[Date],114),""),"")</f>
        <v/>
      </c>
      <c r="K115" s="43">
        <f>IF(J115="",NA(),IFERROR(INDEX(tblHistory[EquityP],114),NA()))</f>
        <v/>
      </c>
      <c r="L115" s="43">
        <f>IF(J115="",NA(),IFERROR(INDEX(tblHistory[FinP],114),NA()))</f>
        <v/>
      </c>
      <c r="M115" s="43">
        <f>IF(J115="",NA(),IFERROR(INDEX(tblHistory[CreditP],114),NA()))</f>
        <v/>
      </c>
      <c r="N115" s="43">
        <f>IF(J115="",NA(),IFERROR(INDEX(tblHistory[Score],114),NA()))</f>
        <v/>
      </c>
    </row>
    <row r="116">
      <c r="J116" s="45">
        <f>IFERROR(IF(INDEX(tblHistory[Date],115)&gt;MAX(tblHistory[Date])-364,INDEX(tblHistory[Date],115),""),"")</f>
        <v/>
      </c>
      <c r="K116" s="43">
        <f>IF(J116="",NA(),IFERROR(INDEX(tblHistory[EquityP],115),NA()))</f>
        <v/>
      </c>
      <c r="L116" s="43">
        <f>IF(J116="",NA(),IFERROR(INDEX(tblHistory[FinP],115),NA()))</f>
        <v/>
      </c>
      <c r="M116" s="43">
        <f>IF(J116="",NA(),IFERROR(INDEX(tblHistory[CreditP],115),NA()))</f>
        <v/>
      </c>
      <c r="N116" s="43">
        <f>IF(J116="",NA(),IFERROR(INDEX(tblHistory[Score],115),NA()))</f>
        <v/>
      </c>
    </row>
    <row r="117">
      <c r="J117" s="45">
        <f>IFERROR(IF(INDEX(tblHistory[Date],116)&gt;MAX(tblHistory[Date])-364,INDEX(tblHistory[Date],116),""),"")</f>
        <v/>
      </c>
      <c r="K117" s="43">
        <f>IF(J117="",NA(),IFERROR(INDEX(tblHistory[EquityP],116),NA()))</f>
        <v/>
      </c>
      <c r="L117" s="43">
        <f>IF(J117="",NA(),IFERROR(INDEX(tblHistory[FinP],116),NA()))</f>
        <v/>
      </c>
      <c r="M117" s="43">
        <f>IF(J117="",NA(),IFERROR(INDEX(tblHistory[CreditP],116),NA()))</f>
        <v/>
      </c>
      <c r="N117" s="43">
        <f>IF(J117="",NA(),IFERROR(INDEX(tblHistory[Score],116),NA()))</f>
        <v/>
      </c>
    </row>
    <row r="118">
      <c r="J118" s="45">
        <f>IFERROR(IF(INDEX(tblHistory[Date],117)&gt;MAX(tblHistory[Date])-364,INDEX(tblHistory[Date],117),""),"")</f>
        <v/>
      </c>
      <c r="K118" s="43">
        <f>IF(J118="",NA(),IFERROR(INDEX(tblHistory[EquityP],117),NA()))</f>
        <v/>
      </c>
      <c r="L118" s="43">
        <f>IF(J118="",NA(),IFERROR(INDEX(tblHistory[FinP],117),NA()))</f>
        <v/>
      </c>
      <c r="M118" s="43">
        <f>IF(J118="",NA(),IFERROR(INDEX(tblHistory[CreditP],117),NA()))</f>
        <v/>
      </c>
      <c r="N118" s="43">
        <f>IF(J118="",NA(),IFERROR(INDEX(tblHistory[Score],117),NA()))</f>
        <v/>
      </c>
    </row>
    <row r="119">
      <c r="J119" s="45">
        <f>IFERROR(IF(INDEX(tblHistory[Date],118)&gt;MAX(tblHistory[Date])-364,INDEX(tblHistory[Date],118),""),"")</f>
        <v/>
      </c>
      <c r="K119" s="43">
        <f>IF(J119="",NA(),IFERROR(INDEX(tblHistory[EquityP],118),NA()))</f>
        <v/>
      </c>
      <c r="L119" s="43">
        <f>IF(J119="",NA(),IFERROR(INDEX(tblHistory[FinP],118),NA()))</f>
        <v/>
      </c>
      <c r="M119" s="43">
        <f>IF(J119="",NA(),IFERROR(INDEX(tblHistory[CreditP],118),NA()))</f>
        <v/>
      </c>
      <c r="N119" s="43">
        <f>IF(J119="",NA(),IFERROR(INDEX(tblHistory[Score],118),NA()))</f>
        <v/>
      </c>
    </row>
    <row r="120">
      <c r="J120" s="45">
        <f>IFERROR(IF(INDEX(tblHistory[Date],119)&gt;MAX(tblHistory[Date])-364,INDEX(tblHistory[Date],119),""),"")</f>
        <v/>
      </c>
      <c r="K120" s="43">
        <f>IF(J120="",NA(),IFERROR(INDEX(tblHistory[EquityP],119),NA()))</f>
        <v/>
      </c>
      <c r="L120" s="43">
        <f>IF(J120="",NA(),IFERROR(INDEX(tblHistory[FinP],119),NA()))</f>
        <v/>
      </c>
      <c r="M120" s="43">
        <f>IF(J120="",NA(),IFERROR(INDEX(tblHistory[CreditP],119),NA()))</f>
        <v/>
      </c>
      <c r="N120" s="43">
        <f>IF(J120="",NA(),IFERROR(INDEX(tblHistory[Score],119),NA()))</f>
        <v/>
      </c>
    </row>
    <row r="121">
      <c r="J121" s="45">
        <f>IFERROR(IF(INDEX(tblHistory[Date],120)&gt;MAX(tblHistory[Date])-364,INDEX(tblHistory[Date],120),""),"")</f>
        <v/>
      </c>
      <c r="K121" s="43">
        <f>IF(J121="",NA(),IFERROR(INDEX(tblHistory[EquityP],120),NA()))</f>
        <v/>
      </c>
      <c r="L121" s="43">
        <f>IF(J121="",NA(),IFERROR(INDEX(tblHistory[FinP],120),NA()))</f>
        <v/>
      </c>
      <c r="M121" s="43">
        <f>IF(J121="",NA(),IFERROR(INDEX(tblHistory[CreditP],120),NA()))</f>
        <v/>
      </c>
      <c r="N121" s="43">
        <f>IF(J121="",NA(),IFERROR(INDEX(tblHistory[Score],120),NA()))</f>
        <v/>
      </c>
    </row>
    <row r="122">
      <c r="J122" s="45">
        <f>IFERROR(IF(INDEX(tblHistory[Date],121)&gt;MAX(tblHistory[Date])-364,INDEX(tblHistory[Date],121),""),"")</f>
        <v/>
      </c>
      <c r="K122" s="43">
        <f>IF(J122="",NA(),IFERROR(INDEX(tblHistory[EquityP],121),NA()))</f>
        <v/>
      </c>
      <c r="L122" s="43">
        <f>IF(J122="",NA(),IFERROR(INDEX(tblHistory[FinP],121),NA()))</f>
        <v/>
      </c>
      <c r="M122" s="43">
        <f>IF(J122="",NA(),IFERROR(INDEX(tblHistory[CreditP],121),NA()))</f>
        <v/>
      </c>
      <c r="N122" s="43">
        <f>IF(J122="",NA(),IFERROR(INDEX(tblHistory[Score],121),NA()))</f>
        <v/>
      </c>
    </row>
    <row r="123">
      <c r="J123" s="45">
        <f>IFERROR(IF(INDEX(tblHistory[Date],122)&gt;MAX(tblHistory[Date])-364,INDEX(tblHistory[Date],122),""),"")</f>
        <v/>
      </c>
      <c r="K123" s="43">
        <f>IF(J123="",NA(),IFERROR(INDEX(tblHistory[EquityP],122),NA()))</f>
        <v/>
      </c>
      <c r="L123" s="43">
        <f>IF(J123="",NA(),IFERROR(INDEX(tblHistory[FinP],122),NA()))</f>
        <v/>
      </c>
      <c r="M123" s="43">
        <f>IF(J123="",NA(),IFERROR(INDEX(tblHistory[CreditP],122),NA()))</f>
        <v/>
      </c>
      <c r="N123" s="43">
        <f>IF(J123="",NA(),IFERROR(INDEX(tblHistory[Score],122),NA()))</f>
        <v/>
      </c>
    </row>
    <row r="124">
      <c r="J124" s="45">
        <f>IFERROR(IF(INDEX(tblHistory[Date],123)&gt;MAX(tblHistory[Date])-364,INDEX(tblHistory[Date],123),""),"")</f>
        <v/>
      </c>
      <c r="K124" s="43">
        <f>IF(J124="",NA(),IFERROR(INDEX(tblHistory[EquityP],123),NA()))</f>
        <v/>
      </c>
      <c r="L124" s="43">
        <f>IF(J124="",NA(),IFERROR(INDEX(tblHistory[FinP],123),NA()))</f>
        <v/>
      </c>
      <c r="M124" s="43">
        <f>IF(J124="",NA(),IFERROR(INDEX(tblHistory[CreditP],123),NA()))</f>
        <v/>
      </c>
      <c r="N124" s="43">
        <f>IF(J124="",NA(),IFERROR(INDEX(tblHistory[Score],123),NA()))</f>
        <v/>
      </c>
    </row>
    <row r="125">
      <c r="J125" s="45">
        <f>IFERROR(IF(INDEX(tblHistory[Date],124)&gt;MAX(tblHistory[Date])-364,INDEX(tblHistory[Date],124),""),"")</f>
        <v/>
      </c>
      <c r="K125" s="43">
        <f>IF(J125="",NA(),IFERROR(INDEX(tblHistory[EquityP],124),NA()))</f>
        <v/>
      </c>
      <c r="L125" s="43">
        <f>IF(J125="",NA(),IFERROR(INDEX(tblHistory[FinP],124),NA()))</f>
        <v/>
      </c>
      <c r="M125" s="43">
        <f>IF(J125="",NA(),IFERROR(INDEX(tblHistory[CreditP],124),NA()))</f>
        <v/>
      </c>
      <c r="N125" s="43">
        <f>IF(J125="",NA(),IFERROR(INDEX(tblHistory[Score],124),NA()))</f>
        <v/>
      </c>
    </row>
    <row r="126">
      <c r="J126" s="45">
        <f>IFERROR(IF(INDEX(tblHistory[Date],125)&gt;MAX(tblHistory[Date])-364,INDEX(tblHistory[Date],125),""),"")</f>
        <v/>
      </c>
      <c r="K126" s="43">
        <f>IF(J126="",NA(),IFERROR(INDEX(tblHistory[EquityP],125),NA()))</f>
        <v/>
      </c>
      <c r="L126" s="43">
        <f>IF(J126="",NA(),IFERROR(INDEX(tblHistory[FinP],125),NA()))</f>
        <v/>
      </c>
      <c r="M126" s="43">
        <f>IF(J126="",NA(),IFERROR(INDEX(tblHistory[CreditP],125),NA()))</f>
        <v/>
      </c>
      <c r="N126" s="43">
        <f>IF(J126="",NA(),IFERROR(INDEX(tblHistory[Score],125),NA()))</f>
        <v/>
      </c>
    </row>
    <row r="127">
      <c r="J127" s="45">
        <f>IFERROR(IF(INDEX(tblHistory[Date],126)&gt;MAX(tblHistory[Date])-364,INDEX(tblHistory[Date],126),""),"")</f>
        <v/>
      </c>
      <c r="K127" s="43">
        <f>IF(J127="",NA(),IFERROR(INDEX(tblHistory[EquityP],126),NA()))</f>
        <v/>
      </c>
      <c r="L127" s="43">
        <f>IF(J127="",NA(),IFERROR(INDEX(tblHistory[FinP],126),NA()))</f>
        <v/>
      </c>
      <c r="M127" s="43">
        <f>IF(J127="",NA(),IFERROR(INDEX(tblHistory[CreditP],126),NA()))</f>
        <v/>
      </c>
      <c r="N127" s="43">
        <f>IF(J127="",NA(),IFERROR(INDEX(tblHistory[Score],126),NA()))</f>
        <v/>
      </c>
    </row>
    <row r="128">
      <c r="J128" s="45">
        <f>IFERROR(IF(INDEX(tblHistory[Date],127)&gt;MAX(tblHistory[Date])-364,INDEX(tblHistory[Date],127),""),"")</f>
        <v/>
      </c>
      <c r="K128" s="43">
        <f>IF(J128="",NA(),IFERROR(INDEX(tblHistory[EquityP],127),NA()))</f>
        <v/>
      </c>
      <c r="L128" s="43">
        <f>IF(J128="",NA(),IFERROR(INDEX(tblHistory[FinP],127),NA()))</f>
        <v/>
      </c>
      <c r="M128" s="43">
        <f>IF(J128="",NA(),IFERROR(INDEX(tblHistory[CreditP],127),NA()))</f>
        <v/>
      </c>
      <c r="N128" s="43">
        <f>IF(J128="",NA(),IFERROR(INDEX(tblHistory[Score],127),NA()))</f>
        <v/>
      </c>
    </row>
    <row r="129">
      <c r="J129" s="45">
        <f>IFERROR(IF(INDEX(tblHistory[Date],128)&gt;MAX(tblHistory[Date])-364,INDEX(tblHistory[Date],128),""),"")</f>
        <v/>
      </c>
      <c r="K129" s="43">
        <f>IF(J129="",NA(),IFERROR(INDEX(tblHistory[EquityP],128),NA()))</f>
        <v/>
      </c>
      <c r="L129" s="43">
        <f>IF(J129="",NA(),IFERROR(INDEX(tblHistory[FinP],128),NA()))</f>
        <v/>
      </c>
      <c r="M129" s="43">
        <f>IF(J129="",NA(),IFERROR(INDEX(tblHistory[CreditP],128),NA()))</f>
        <v/>
      </c>
      <c r="N129" s="43">
        <f>IF(J129="",NA(),IFERROR(INDEX(tblHistory[Score],128),NA()))</f>
        <v/>
      </c>
    </row>
    <row r="130">
      <c r="J130" s="45">
        <f>IFERROR(IF(INDEX(tblHistory[Date],129)&gt;MAX(tblHistory[Date])-364,INDEX(tblHistory[Date],129),""),"")</f>
        <v/>
      </c>
      <c r="K130" s="43">
        <f>IF(J130="",NA(),IFERROR(INDEX(tblHistory[EquityP],129),NA()))</f>
        <v/>
      </c>
      <c r="L130" s="43">
        <f>IF(J130="",NA(),IFERROR(INDEX(tblHistory[FinP],129),NA()))</f>
        <v/>
      </c>
      <c r="M130" s="43">
        <f>IF(J130="",NA(),IFERROR(INDEX(tblHistory[CreditP],129),NA()))</f>
        <v/>
      </c>
      <c r="N130" s="43">
        <f>IF(J130="",NA(),IFERROR(INDEX(tblHistory[Score],129),NA()))</f>
        <v/>
      </c>
    </row>
    <row r="131">
      <c r="J131" s="45">
        <f>IFERROR(IF(INDEX(tblHistory[Date],130)&gt;MAX(tblHistory[Date])-364,INDEX(tblHistory[Date],130),""),"")</f>
        <v/>
      </c>
      <c r="K131" s="43">
        <f>IF(J131="",NA(),IFERROR(INDEX(tblHistory[EquityP],130),NA()))</f>
        <v/>
      </c>
      <c r="L131" s="43">
        <f>IF(J131="",NA(),IFERROR(INDEX(tblHistory[FinP],130),NA()))</f>
        <v/>
      </c>
      <c r="M131" s="43">
        <f>IF(J131="",NA(),IFERROR(INDEX(tblHistory[CreditP],130),NA()))</f>
        <v/>
      </c>
      <c r="N131" s="43">
        <f>IF(J131="",NA(),IFERROR(INDEX(tblHistory[Score],130),NA()))</f>
        <v/>
      </c>
    </row>
    <row r="132">
      <c r="J132" s="45">
        <f>IFERROR(IF(INDEX(tblHistory[Date],131)&gt;MAX(tblHistory[Date])-364,INDEX(tblHistory[Date],131),""),"")</f>
        <v/>
      </c>
      <c r="K132" s="43">
        <f>IF(J132="",NA(),IFERROR(INDEX(tblHistory[EquityP],131),NA()))</f>
        <v/>
      </c>
      <c r="L132" s="43">
        <f>IF(J132="",NA(),IFERROR(INDEX(tblHistory[FinP],131),NA()))</f>
        <v/>
      </c>
      <c r="M132" s="43">
        <f>IF(J132="",NA(),IFERROR(INDEX(tblHistory[CreditP],131),NA()))</f>
        <v/>
      </c>
      <c r="N132" s="43">
        <f>IF(J132="",NA(),IFERROR(INDEX(tblHistory[Score],131),NA()))</f>
        <v/>
      </c>
    </row>
    <row r="133">
      <c r="J133" s="45">
        <f>IFERROR(IF(INDEX(tblHistory[Date],132)&gt;MAX(tblHistory[Date])-364,INDEX(tblHistory[Date],132),""),"")</f>
        <v/>
      </c>
      <c r="K133" s="43">
        <f>IF(J133="",NA(),IFERROR(INDEX(tblHistory[EquityP],132),NA()))</f>
        <v/>
      </c>
      <c r="L133" s="43">
        <f>IF(J133="",NA(),IFERROR(INDEX(tblHistory[FinP],132),NA()))</f>
        <v/>
      </c>
      <c r="M133" s="43">
        <f>IF(J133="",NA(),IFERROR(INDEX(tblHistory[CreditP],132),NA()))</f>
        <v/>
      </c>
      <c r="N133" s="43">
        <f>IF(J133="",NA(),IFERROR(INDEX(tblHistory[Score],132),NA()))</f>
        <v/>
      </c>
    </row>
    <row r="134">
      <c r="J134" s="45">
        <f>IFERROR(IF(INDEX(tblHistory[Date],133)&gt;MAX(tblHistory[Date])-364,INDEX(tblHistory[Date],133),""),"")</f>
        <v/>
      </c>
      <c r="K134" s="43">
        <f>IF(J134="",NA(),IFERROR(INDEX(tblHistory[EquityP],133),NA()))</f>
        <v/>
      </c>
      <c r="L134" s="43">
        <f>IF(J134="",NA(),IFERROR(INDEX(tblHistory[FinP],133),NA()))</f>
        <v/>
      </c>
      <c r="M134" s="43">
        <f>IF(J134="",NA(),IFERROR(INDEX(tblHistory[CreditP],133),NA()))</f>
        <v/>
      </c>
      <c r="N134" s="43">
        <f>IF(J134="",NA(),IFERROR(INDEX(tblHistory[Score],133),NA()))</f>
        <v/>
      </c>
    </row>
    <row r="135">
      <c r="J135" s="45">
        <f>IFERROR(IF(INDEX(tblHistory[Date],134)&gt;MAX(tblHistory[Date])-364,INDEX(tblHistory[Date],134),""),"")</f>
        <v/>
      </c>
      <c r="K135" s="43">
        <f>IF(J135="",NA(),IFERROR(INDEX(tblHistory[EquityP],134),NA()))</f>
        <v/>
      </c>
      <c r="L135" s="43">
        <f>IF(J135="",NA(),IFERROR(INDEX(tblHistory[FinP],134),NA()))</f>
        <v/>
      </c>
      <c r="M135" s="43">
        <f>IF(J135="",NA(),IFERROR(INDEX(tblHistory[CreditP],134),NA()))</f>
        <v/>
      </c>
      <c r="N135" s="43">
        <f>IF(J135="",NA(),IFERROR(INDEX(tblHistory[Score],134),NA()))</f>
        <v/>
      </c>
    </row>
    <row r="136">
      <c r="J136" s="45">
        <f>IFERROR(IF(INDEX(tblHistory[Date],135)&gt;MAX(tblHistory[Date])-364,INDEX(tblHistory[Date],135),""),"")</f>
        <v/>
      </c>
      <c r="K136" s="43">
        <f>IF(J136="",NA(),IFERROR(INDEX(tblHistory[EquityP],135),NA()))</f>
        <v/>
      </c>
      <c r="L136" s="43">
        <f>IF(J136="",NA(),IFERROR(INDEX(tblHistory[FinP],135),NA()))</f>
        <v/>
      </c>
      <c r="M136" s="43">
        <f>IF(J136="",NA(),IFERROR(INDEX(tblHistory[CreditP],135),NA()))</f>
        <v/>
      </c>
      <c r="N136" s="43">
        <f>IF(J136="",NA(),IFERROR(INDEX(tblHistory[Score],135),NA()))</f>
        <v/>
      </c>
    </row>
    <row r="137">
      <c r="J137" s="45">
        <f>IFERROR(IF(INDEX(tblHistory[Date],136)&gt;MAX(tblHistory[Date])-364,INDEX(tblHistory[Date],136),""),"")</f>
        <v/>
      </c>
      <c r="K137" s="43">
        <f>IF(J137="",NA(),IFERROR(INDEX(tblHistory[EquityP],136),NA()))</f>
        <v/>
      </c>
      <c r="L137" s="43">
        <f>IF(J137="",NA(),IFERROR(INDEX(tblHistory[FinP],136),NA()))</f>
        <v/>
      </c>
      <c r="M137" s="43">
        <f>IF(J137="",NA(),IFERROR(INDEX(tblHistory[CreditP],136),NA()))</f>
        <v/>
      </c>
      <c r="N137" s="43">
        <f>IF(J137="",NA(),IFERROR(INDEX(tblHistory[Score],136),NA()))</f>
        <v/>
      </c>
    </row>
    <row r="138">
      <c r="J138" s="45">
        <f>IFERROR(IF(INDEX(tblHistory[Date],137)&gt;MAX(tblHistory[Date])-364,INDEX(tblHistory[Date],137),""),"")</f>
        <v/>
      </c>
      <c r="K138" s="43">
        <f>IF(J138="",NA(),IFERROR(INDEX(tblHistory[EquityP],137),NA()))</f>
        <v/>
      </c>
      <c r="L138" s="43">
        <f>IF(J138="",NA(),IFERROR(INDEX(tblHistory[FinP],137),NA()))</f>
        <v/>
      </c>
      <c r="M138" s="43">
        <f>IF(J138="",NA(),IFERROR(INDEX(tblHistory[CreditP],137),NA()))</f>
        <v/>
      </c>
      <c r="N138" s="43">
        <f>IF(J138="",NA(),IFERROR(INDEX(tblHistory[Score],137),NA()))</f>
        <v/>
      </c>
    </row>
    <row r="139">
      <c r="J139" s="45">
        <f>IFERROR(IF(INDEX(tblHistory[Date],138)&gt;MAX(tblHistory[Date])-364,INDEX(tblHistory[Date],138),""),"")</f>
        <v/>
      </c>
      <c r="K139" s="43">
        <f>IF(J139="",NA(),IFERROR(INDEX(tblHistory[EquityP],138),NA()))</f>
        <v/>
      </c>
      <c r="L139" s="43">
        <f>IF(J139="",NA(),IFERROR(INDEX(tblHistory[FinP],138),NA()))</f>
        <v/>
      </c>
      <c r="M139" s="43">
        <f>IF(J139="",NA(),IFERROR(INDEX(tblHistory[CreditP],138),NA()))</f>
        <v/>
      </c>
      <c r="N139" s="43">
        <f>IF(J139="",NA(),IFERROR(INDEX(tblHistory[Score],138),NA()))</f>
        <v/>
      </c>
    </row>
    <row r="140">
      <c r="J140" s="45">
        <f>IFERROR(IF(INDEX(tblHistory[Date],139)&gt;MAX(tblHistory[Date])-364,INDEX(tblHistory[Date],139),""),"")</f>
        <v/>
      </c>
      <c r="K140" s="43">
        <f>IF(J140="",NA(),IFERROR(INDEX(tblHistory[EquityP],139),NA()))</f>
        <v/>
      </c>
      <c r="L140" s="43">
        <f>IF(J140="",NA(),IFERROR(INDEX(tblHistory[FinP],139),NA()))</f>
        <v/>
      </c>
      <c r="M140" s="43">
        <f>IF(J140="",NA(),IFERROR(INDEX(tblHistory[CreditP],139),NA()))</f>
        <v/>
      </c>
      <c r="N140" s="43">
        <f>IF(J140="",NA(),IFERROR(INDEX(tblHistory[Score],139),NA()))</f>
        <v/>
      </c>
    </row>
    <row r="141">
      <c r="J141" s="45">
        <f>IFERROR(IF(INDEX(tblHistory[Date],140)&gt;MAX(tblHistory[Date])-364,INDEX(tblHistory[Date],140),""),"")</f>
        <v/>
      </c>
      <c r="K141" s="43">
        <f>IF(J141="",NA(),IFERROR(INDEX(tblHistory[EquityP],140),NA()))</f>
        <v/>
      </c>
      <c r="L141" s="43">
        <f>IF(J141="",NA(),IFERROR(INDEX(tblHistory[FinP],140),NA()))</f>
        <v/>
      </c>
      <c r="M141" s="43">
        <f>IF(J141="",NA(),IFERROR(INDEX(tblHistory[CreditP],140),NA()))</f>
        <v/>
      </c>
      <c r="N141" s="43">
        <f>IF(J141="",NA(),IFERROR(INDEX(tblHistory[Score],140),NA()))</f>
        <v/>
      </c>
    </row>
    <row r="142">
      <c r="J142" s="45">
        <f>IFERROR(IF(INDEX(tblHistory[Date],141)&gt;MAX(tblHistory[Date])-364,INDEX(tblHistory[Date],141),""),"")</f>
        <v/>
      </c>
      <c r="K142" s="43">
        <f>IF(J142="",NA(),IFERROR(INDEX(tblHistory[EquityP],141),NA()))</f>
        <v/>
      </c>
      <c r="L142" s="43">
        <f>IF(J142="",NA(),IFERROR(INDEX(tblHistory[FinP],141),NA()))</f>
        <v/>
      </c>
      <c r="M142" s="43">
        <f>IF(J142="",NA(),IFERROR(INDEX(tblHistory[CreditP],141),NA()))</f>
        <v/>
      </c>
      <c r="N142" s="43">
        <f>IF(J142="",NA(),IFERROR(INDEX(tblHistory[Score],141),NA()))</f>
        <v/>
      </c>
    </row>
    <row r="143">
      <c r="J143" s="45">
        <f>IFERROR(IF(INDEX(tblHistory[Date],142)&gt;MAX(tblHistory[Date])-364,INDEX(tblHistory[Date],142),""),"")</f>
        <v/>
      </c>
      <c r="K143" s="43">
        <f>IF(J143="",NA(),IFERROR(INDEX(tblHistory[EquityP],142),NA()))</f>
        <v/>
      </c>
      <c r="L143" s="43">
        <f>IF(J143="",NA(),IFERROR(INDEX(tblHistory[FinP],142),NA()))</f>
        <v/>
      </c>
      <c r="M143" s="43">
        <f>IF(J143="",NA(),IFERROR(INDEX(tblHistory[CreditP],142),NA()))</f>
        <v/>
      </c>
      <c r="N143" s="43">
        <f>IF(J143="",NA(),IFERROR(INDEX(tblHistory[Score],142),NA()))</f>
        <v/>
      </c>
    </row>
    <row r="144">
      <c r="J144" s="45">
        <f>IFERROR(IF(INDEX(tblHistory[Date],143)&gt;MAX(tblHistory[Date])-364,INDEX(tblHistory[Date],143),""),"")</f>
        <v/>
      </c>
      <c r="K144" s="43">
        <f>IF(J144="",NA(),IFERROR(INDEX(tblHistory[EquityP],143),NA()))</f>
        <v/>
      </c>
      <c r="L144" s="43">
        <f>IF(J144="",NA(),IFERROR(INDEX(tblHistory[FinP],143),NA()))</f>
        <v/>
      </c>
      <c r="M144" s="43">
        <f>IF(J144="",NA(),IFERROR(INDEX(tblHistory[CreditP],143),NA()))</f>
        <v/>
      </c>
      <c r="N144" s="43">
        <f>IF(J144="",NA(),IFERROR(INDEX(tblHistory[Score],143),NA()))</f>
        <v/>
      </c>
    </row>
    <row r="145">
      <c r="J145" s="45">
        <f>IFERROR(IF(INDEX(tblHistory[Date],144)&gt;MAX(tblHistory[Date])-364,INDEX(tblHistory[Date],144),""),"")</f>
        <v/>
      </c>
      <c r="K145" s="43">
        <f>IF(J145="",NA(),IFERROR(INDEX(tblHistory[EquityP],144),NA()))</f>
        <v/>
      </c>
      <c r="L145" s="43">
        <f>IF(J145="",NA(),IFERROR(INDEX(tblHistory[FinP],144),NA()))</f>
        <v/>
      </c>
      <c r="M145" s="43">
        <f>IF(J145="",NA(),IFERROR(INDEX(tblHistory[CreditP],144),NA()))</f>
        <v/>
      </c>
      <c r="N145" s="43">
        <f>IF(J145="",NA(),IFERROR(INDEX(tblHistory[Score],144),NA()))</f>
        <v/>
      </c>
    </row>
    <row r="146">
      <c r="J146" s="45">
        <f>IFERROR(IF(INDEX(tblHistory[Date],145)&gt;MAX(tblHistory[Date])-364,INDEX(tblHistory[Date],145),""),"")</f>
        <v/>
      </c>
      <c r="K146" s="43">
        <f>IF(J146="",NA(),IFERROR(INDEX(tblHistory[EquityP],145),NA()))</f>
        <v/>
      </c>
      <c r="L146" s="43">
        <f>IF(J146="",NA(),IFERROR(INDEX(tblHistory[FinP],145),NA()))</f>
        <v/>
      </c>
      <c r="M146" s="43">
        <f>IF(J146="",NA(),IFERROR(INDEX(tblHistory[CreditP],145),NA()))</f>
        <v/>
      </c>
      <c r="N146" s="43">
        <f>IF(J146="",NA(),IFERROR(INDEX(tblHistory[Score],145),NA()))</f>
        <v/>
      </c>
    </row>
    <row r="147">
      <c r="J147" s="45">
        <f>IFERROR(IF(INDEX(tblHistory[Date],146)&gt;MAX(tblHistory[Date])-364,INDEX(tblHistory[Date],146),""),"")</f>
        <v/>
      </c>
      <c r="K147" s="43">
        <f>IF(J147="",NA(),IFERROR(INDEX(tblHistory[EquityP],146),NA()))</f>
        <v/>
      </c>
      <c r="L147" s="43">
        <f>IF(J147="",NA(),IFERROR(INDEX(tblHistory[FinP],146),NA()))</f>
        <v/>
      </c>
      <c r="M147" s="43">
        <f>IF(J147="",NA(),IFERROR(INDEX(tblHistory[CreditP],146),NA()))</f>
        <v/>
      </c>
      <c r="N147" s="43">
        <f>IF(J147="",NA(),IFERROR(INDEX(tblHistory[Score],146),NA()))</f>
        <v/>
      </c>
    </row>
    <row r="148">
      <c r="J148" s="45">
        <f>IFERROR(IF(INDEX(tblHistory[Date],147)&gt;MAX(tblHistory[Date])-364,INDEX(tblHistory[Date],147),""),"")</f>
        <v/>
      </c>
      <c r="K148" s="43">
        <f>IF(J148="",NA(),IFERROR(INDEX(tblHistory[EquityP],147),NA()))</f>
        <v/>
      </c>
      <c r="L148" s="43">
        <f>IF(J148="",NA(),IFERROR(INDEX(tblHistory[FinP],147),NA()))</f>
        <v/>
      </c>
      <c r="M148" s="43">
        <f>IF(J148="",NA(),IFERROR(INDEX(tblHistory[CreditP],147),NA()))</f>
        <v/>
      </c>
      <c r="N148" s="43">
        <f>IF(J148="",NA(),IFERROR(INDEX(tblHistory[Score],147),NA()))</f>
        <v/>
      </c>
    </row>
    <row r="149">
      <c r="J149" s="45">
        <f>IFERROR(IF(INDEX(tblHistory[Date],148)&gt;MAX(tblHistory[Date])-364,INDEX(tblHistory[Date],148),""),"")</f>
        <v/>
      </c>
      <c r="K149" s="43">
        <f>IF(J149="",NA(),IFERROR(INDEX(tblHistory[EquityP],148),NA()))</f>
        <v/>
      </c>
      <c r="L149" s="43">
        <f>IF(J149="",NA(),IFERROR(INDEX(tblHistory[FinP],148),NA()))</f>
        <v/>
      </c>
      <c r="M149" s="43">
        <f>IF(J149="",NA(),IFERROR(INDEX(tblHistory[CreditP],148),NA()))</f>
        <v/>
      </c>
      <c r="N149" s="43">
        <f>IF(J149="",NA(),IFERROR(INDEX(tblHistory[Score],148),NA()))</f>
        <v/>
      </c>
    </row>
    <row r="150">
      <c r="J150" s="45">
        <f>IFERROR(IF(INDEX(tblHistory[Date],149)&gt;MAX(tblHistory[Date])-364,INDEX(tblHistory[Date],149),""),"")</f>
        <v/>
      </c>
      <c r="K150" s="43">
        <f>IF(J150="",NA(),IFERROR(INDEX(tblHistory[EquityP],149),NA()))</f>
        <v/>
      </c>
      <c r="L150" s="43">
        <f>IF(J150="",NA(),IFERROR(INDEX(tblHistory[FinP],149),NA()))</f>
        <v/>
      </c>
      <c r="M150" s="43">
        <f>IF(J150="",NA(),IFERROR(INDEX(tblHistory[CreditP],149),NA()))</f>
        <v/>
      </c>
      <c r="N150" s="43">
        <f>IF(J150="",NA(),IFERROR(INDEX(tblHistory[Score],149),NA()))</f>
        <v/>
      </c>
    </row>
    <row r="151">
      <c r="J151" s="45">
        <f>IFERROR(IF(INDEX(tblHistory[Date],150)&gt;MAX(tblHistory[Date])-364,INDEX(tblHistory[Date],150),""),"")</f>
        <v/>
      </c>
      <c r="K151" s="43">
        <f>IF(J151="",NA(),IFERROR(INDEX(tblHistory[EquityP],150),NA()))</f>
        <v/>
      </c>
      <c r="L151" s="43">
        <f>IF(J151="",NA(),IFERROR(INDEX(tblHistory[FinP],150),NA()))</f>
        <v/>
      </c>
      <c r="M151" s="43">
        <f>IF(J151="",NA(),IFERROR(INDEX(tblHistory[CreditP],150),NA()))</f>
        <v/>
      </c>
      <c r="N151" s="43">
        <f>IF(J151="",NA(),IFERROR(INDEX(tblHistory[Score],150),NA()))</f>
        <v/>
      </c>
    </row>
    <row r="152">
      <c r="J152" s="45">
        <f>IFERROR(IF(INDEX(tblHistory[Date],151)&gt;MAX(tblHistory[Date])-364,INDEX(tblHistory[Date],151),""),"")</f>
        <v/>
      </c>
      <c r="K152" s="43">
        <f>IF(J152="",NA(),IFERROR(INDEX(tblHistory[EquityP],151),NA()))</f>
        <v/>
      </c>
      <c r="L152" s="43">
        <f>IF(J152="",NA(),IFERROR(INDEX(tblHistory[FinP],151),NA()))</f>
        <v/>
      </c>
      <c r="M152" s="43">
        <f>IF(J152="",NA(),IFERROR(INDEX(tblHistory[CreditP],151),NA()))</f>
        <v/>
      </c>
      <c r="N152" s="43">
        <f>IF(J152="",NA(),IFERROR(INDEX(tblHistory[Score],151),NA()))</f>
        <v/>
      </c>
    </row>
    <row r="153">
      <c r="J153" s="45">
        <f>IFERROR(IF(INDEX(tblHistory[Date],152)&gt;MAX(tblHistory[Date])-364,INDEX(tblHistory[Date],152),""),"")</f>
        <v/>
      </c>
      <c r="K153" s="43">
        <f>IF(J153="",NA(),IFERROR(INDEX(tblHistory[EquityP],152),NA()))</f>
        <v/>
      </c>
      <c r="L153" s="43">
        <f>IF(J153="",NA(),IFERROR(INDEX(tblHistory[FinP],152),NA()))</f>
        <v/>
      </c>
      <c r="M153" s="43">
        <f>IF(J153="",NA(),IFERROR(INDEX(tblHistory[CreditP],152),NA()))</f>
        <v/>
      </c>
      <c r="N153" s="43">
        <f>IF(J153="",NA(),IFERROR(INDEX(tblHistory[Score],152),NA()))</f>
        <v/>
      </c>
    </row>
    <row r="154">
      <c r="J154" s="45">
        <f>IFERROR(IF(INDEX(tblHistory[Date],153)&gt;MAX(tblHistory[Date])-364,INDEX(tblHistory[Date],153),""),"")</f>
        <v/>
      </c>
      <c r="K154" s="43">
        <f>IF(J154="",NA(),IFERROR(INDEX(tblHistory[EquityP],153),NA()))</f>
        <v/>
      </c>
      <c r="L154" s="43">
        <f>IF(J154="",NA(),IFERROR(INDEX(tblHistory[FinP],153),NA()))</f>
        <v/>
      </c>
      <c r="M154" s="43">
        <f>IF(J154="",NA(),IFERROR(INDEX(tblHistory[CreditP],153),NA()))</f>
        <v/>
      </c>
      <c r="N154" s="43">
        <f>IF(J154="",NA(),IFERROR(INDEX(tblHistory[Score],153),NA()))</f>
        <v/>
      </c>
    </row>
    <row r="155">
      <c r="J155" s="45">
        <f>IFERROR(IF(INDEX(tblHistory[Date],154)&gt;MAX(tblHistory[Date])-364,INDEX(tblHistory[Date],154),""),"")</f>
        <v/>
      </c>
      <c r="K155" s="43">
        <f>IF(J155="",NA(),IFERROR(INDEX(tblHistory[EquityP],154),NA()))</f>
        <v/>
      </c>
      <c r="L155" s="43">
        <f>IF(J155="",NA(),IFERROR(INDEX(tblHistory[FinP],154),NA()))</f>
        <v/>
      </c>
      <c r="M155" s="43">
        <f>IF(J155="",NA(),IFERROR(INDEX(tblHistory[CreditP],154),NA()))</f>
        <v/>
      </c>
      <c r="N155" s="43">
        <f>IF(J155="",NA(),IFERROR(INDEX(tblHistory[Score],154),NA()))</f>
        <v/>
      </c>
    </row>
    <row r="156">
      <c r="J156" s="45">
        <f>IFERROR(IF(INDEX(tblHistory[Date],155)&gt;MAX(tblHistory[Date])-364,INDEX(tblHistory[Date],155),""),"")</f>
        <v/>
      </c>
      <c r="K156" s="43">
        <f>IF(J156="",NA(),IFERROR(INDEX(tblHistory[EquityP],155),NA()))</f>
        <v/>
      </c>
      <c r="L156" s="43">
        <f>IF(J156="",NA(),IFERROR(INDEX(tblHistory[FinP],155),NA()))</f>
        <v/>
      </c>
      <c r="M156" s="43">
        <f>IF(J156="",NA(),IFERROR(INDEX(tblHistory[CreditP],155),NA()))</f>
        <v/>
      </c>
      <c r="N156" s="43">
        <f>IF(J156="",NA(),IFERROR(INDEX(tblHistory[Score],155),NA()))</f>
        <v/>
      </c>
    </row>
    <row r="157">
      <c r="J157" s="45">
        <f>IFERROR(IF(INDEX(tblHistory[Date],156)&gt;MAX(tblHistory[Date])-364,INDEX(tblHistory[Date],156),""),"")</f>
        <v/>
      </c>
      <c r="K157" s="43">
        <f>IF(J157="",NA(),IFERROR(INDEX(tblHistory[EquityP],156),NA()))</f>
        <v/>
      </c>
      <c r="L157" s="43">
        <f>IF(J157="",NA(),IFERROR(INDEX(tblHistory[FinP],156),NA()))</f>
        <v/>
      </c>
      <c r="M157" s="43">
        <f>IF(J157="",NA(),IFERROR(INDEX(tblHistory[CreditP],156),NA()))</f>
        <v/>
      </c>
      <c r="N157" s="43">
        <f>IF(J157="",NA(),IFERROR(INDEX(tblHistory[Score],156),NA()))</f>
        <v/>
      </c>
    </row>
    <row r="158">
      <c r="J158" s="45">
        <f>IFERROR(IF(INDEX(tblHistory[Date],157)&gt;MAX(tblHistory[Date])-364,INDEX(tblHistory[Date],157),""),"")</f>
        <v/>
      </c>
      <c r="K158" s="43">
        <f>IF(J158="",NA(),IFERROR(INDEX(tblHistory[EquityP],157),NA()))</f>
        <v/>
      </c>
      <c r="L158" s="43">
        <f>IF(J158="",NA(),IFERROR(INDEX(tblHistory[FinP],157),NA()))</f>
        <v/>
      </c>
      <c r="M158" s="43">
        <f>IF(J158="",NA(),IFERROR(INDEX(tblHistory[CreditP],157),NA()))</f>
        <v/>
      </c>
      <c r="N158" s="43">
        <f>IF(J158="",NA(),IFERROR(INDEX(tblHistory[Score],157),NA()))</f>
        <v/>
      </c>
    </row>
    <row r="159">
      <c r="J159" s="45">
        <f>IFERROR(IF(INDEX(tblHistory[Date],158)&gt;MAX(tblHistory[Date])-364,INDEX(tblHistory[Date],158),""),"")</f>
        <v/>
      </c>
      <c r="K159" s="43">
        <f>IF(J159="",NA(),IFERROR(INDEX(tblHistory[EquityP],158),NA()))</f>
        <v/>
      </c>
      <c r="L159" s="43">
        <f>IF(J159="",NA(),IFERROR(INDEX(tblHistory[FinP],158),NA()))</f>
        <v/>
      </c>
      <c r="M159" s="43">
        <f>IF(J159="",NA(),IFERROR(INDEX(tblHistory[CreditP],158),NA()))</f>
        <v/>
      </c>
      <c r="N159" s="43">
        <f>IF(J159="",NA(),IFERROR(INDEX(tblHistory[Score],158),NA()))</f>
        <v/>
      </c>
    </row>
    <row r="160">
      <c r="J160" s="45">
        <f>IFERROR(IF(INDEX(tblHistory[Date],159)&gt;MAX(tblHistory[Date])-364,INDEX(tblHistory[Date],159),""),"")</f>
        <v/>
      </c>
      <c r="K160" s="43">
        <f>IF(J160="",NA(),IFERROR(INDEX(tblHistory[EquityP],159),NA()))</f>
        <v/>
      </c>
      <c r="L160" s="43">
        <f>IF(J160="",NA(),IFERROR(INDEX(tblHistory[FinP],159),NA()))</f>
        <v/>
      </c>
      <c r="M160" s="43">
        <f>IF(J160="",NA(),IFERROR(INDEX(tblHistory[CreditP],159),NA()))</f>
        <v/>
      </c>
      <c r="N160" s="43">
        <f>IF(J160="",NA(),IFERROR(INDEX(tblHistory[Score],159),NA()))</f>
        <v/>
      </c>
    </row>
    <row r="161">
      <c r="J161" s="45">
        <f>IFERROR(IF(INDEX(tblHistory[Date],160)&gt;MAX(tblHistory[Date])-364,INDEX(tblHistory[Date],160),""),"")</f>
        <v/>
      </c>
      <c r="K161" s="43">
        <f>IF(J161="",NA(),IFERROR(INDEX(tblHistory[EquityP],160),NA()))</f>
        <v/>
      </c>
      <c r="L161" s="43">
        <f>IF(J161="",NA(),IFERROR(INDEX(tblHistory[FinP],160),NA()))</f>
        <v/>
      </c>
      <c r="M161" s="43">
        <f>IF(J161="",NA(),IFERROR(INDEX(tblHistory[CreditP],160),NA()))</f>
        <v/>
      </c>
      <c r="N161" s="43">
        <f>IF(J161="",NA(),IFERROR(INDEX(tblHistory[Score],160),NA()))</f>
        <v/>
      </c>
    </row>
    <row r="162">
      <c r="J162" s="45">
        <f>IFERROR(IF(INDEX(tblHistory[Date],161)&gt;MAX(tblHistory[Date])-364,INDEX(tblHistory[Date],161),""),"")</f>
        <v/>
      </c>
      <c r="K162" s="43">
        <f>IF(J162="",NA(),IFERROR(INDEX(tblHistory[EquityP],161),NA()))</f>
        <v/>
      </c>
      <c r="L162" s="43">
        <f>IF(J162="",NA(),IFERROR(INDEX(tblHistory[FinP],161),NA()))</f>
        <v/>
      </c>
      <c r="M162" s="43">
        <f>IF(J162="",NA(),IFERROR(INDEX(tblHistory[CreditP],161),NA()))</f>
        <v/>
      </c>
      <c r="N162" s="43">
        <f>IF(J162="",NA(),IFERROR(INDEX(tblHistory[Score],161),NA()))</f>
        <v/>
      </c>
    </row>
    <row r="163">
      <c r="J163" s="45">
        <f>IFERROR(IF(INDEX(tblHistory[Date],162)&gt;MAX(tblHistory[Date])-364,INDEX(tblHistory[Date],162),""),"")</f>
        <v/>
      </c>
      <c r="K163" s="43">
        <f>IF(J163="",NA(),IFERROR(INDEX(tblHistory[EquityP],162),NA()))</f>
        <v/>
      </c>
      <c r="L163" s="43">
        <f>IF(J163="",NA(),IFERROR(INDEX(tblHistory[FinP],162),NA()))</f>
        <v/>
      </c>
      <c r="M163" s="43">
        <f>IF(J163="",NA(),IFERROR(INDEX(tblHistory[CreditP],162),NA()))</f>
        <v/>
      </c>
      <c r="N163" s="43">
        <f>IF(J163="",NA(),IFERROR(INDEX(tblHistory[Score],162),NA()))</f>
        <v/>
      </c>
    </row>
    <row r="164">
      <c r="J164" s="45">
        <f>IFERROR(IF(INDEX(tblHistory[Date],163)&gt;MAX(tblHistory[Date])-364,INDEX(tblHistory[Date],163),""),"")</f>
        <v/>
      </c>
      <c r="K164" s="43">
        <f>IF(J164="",NA(),IFERROR(INDEX(tblHistory[EquityP],163),NA()))</f>
        <v/>
      </c>
      <c r="L164" s="43">
        <f>IF(J164="",NA(),IFERROR(INDEX(tblHistory[FinP],163),NA()))</f>
        <v/>
      </c>
      <c r="M164" s="43">
        <f>IF(J164="",NA(),IFERROR(INDEX(tblHistory[CreditP],163),NA()))</f>
        <v/>
      </c>
      <c r="N164" s="43">
        <f>IF(J164="",NA(),IFERROR(INDEX(tblHistory[Score],163),NA()))</f>
        <v/>
      </c>
    </row>
    <row r="165">
      <c r="J165" s="45">
        <f>IFERROR(IF(INDEX(tblHistory[Date],164)&gt;MAX(tblHistory[Date])-364,INDEX(tblHistory[Date],164),""),"")</f>
        <v/>
      </c>
      <c r="K165" s="43">
        <f>IF(J165="",NA(),IFERROR(INDEX(tblHistory[EquityP],164),NA()))</f>
        <v/>
      </c>
      <c r="L165" s="43">
        <f>IF(J165="",NA(),IFERROR(INDEX(tblHistory[FinP],164),NA()))</f>
        <v/>
      </c>
      <c r="M165" s="43">
        <f>IF(J165="",NA(),IFERROR(INDEX(tblHistory[CreditP],164),NA()))</f>
        <v/>
      </c>
      <c r="N165" s="43">
        <f>IF(J165="",NA(),IFERROR(INDEX(tblHistory[Score],164),NA()))</f>
        <v/>
      </c>
    </row>
    <row r="166">
      <c r="J166" s="45">
        <f>IFERROR(IF(INDEX(tblHistory[Date],165)&gt;MAX(tblHistory[Date])-364,INDEX(tblHistory[Date],165),""),"")</f>
        <v/>
      </c>
      <c r="K166" s="43">
        <f>IF(J166="",NA(),IFERROR(INDEX(tblHistory[EquityP],165),NA()))</f>
        <v/>
      </c>
      <c r="L166" s="43">
        <f>IF(J166="",NA(),IFERROR(INDEX(tblHistory[FinP],165),NA()))</f>
        <v/>
      </c>
      <c r="M166" s="43">
        <f>IF(J166="",NA(),IFERROR(INDEX(tblHistory[CreditP],165),NA()))</f>
        <v/>
      </c>
      <c r="N166" s="43">
        <f>IF(J166="",NA(),IFERROR(INDEX(tblHistory[Score],165),NA()))</f>
        <v/>
      </c>
    </row>
    <row r="167">
      <c r="J167" s="45">
        <f>IFERROR(IF(INDEX(tblHistory[Date],166)&gt;MAX(tblHistory[Date])-364,INDEX(tblHistory[Date],166),""),"")</f>
        <v/>
      </c>
      <c r="K167" s="43">
        <f>IF(J167="",NA(),IFERROR(INDEX(tblHistory[EquityP],166),NA()))</f>
        <v/>
      </c>
      <c r="L167" s="43">
        <f>IF(J167="",NA(),IFERROR(INDEX(tblHistory[FinP],166),NA()))</f>
        <v/>
      </c>
      <c r="M167" s="43">
        <f>IF(J167="",NA(),IFERROR(INDEX(tblHistory[CreditP],166),NA()))</f>
        <v/>
      </c>
      <c r="N167" s="43">
        <f>IF(J167="",NA(),IFERROR(INDEX(tblHistory[Score],166),NA()))</f>
        <v/>
      </c>
    </row>
    <row r="168">
      <c r="J168" s="45">
        <f>IFERROR(IF(INDEX(tblHistory[Date],167)&gt;MAX(tblHistory[Date])-364,INDEX(tblHistory[Date],167),""),"")</f>
        <v/>
      </c>
      <c r="K168" s="43">
        <f>IF(J168="",NA(),IFERROR(INDEX(tblHistory[EquityP],167),NA()))</f>
        <v/>
      </c>
      <c r="L168" s="43">
        <f>IF(J168="",NA(),IFERROR(INDEX(tblHistory[FinP],167),NA()))</f>
        <v/>
      </c>
      <c r="M168" s="43">
        <f>IF(J168="",NA(),IFERROR(INDEX(tblHistory[CreditP],167),NA()))</f>
        <v/>
      </c>
      <c r="N168" s="43">
        <f>IF(J168="",NA(),IFERROR(INDEX(tblHistory[Score],167),NA()))</f>
        <v/>
      </c>
    </row>
    <row r="169">
      <c r="J169" s="45">
        <f>IFERROR(IF(INDEX(tblHistory[Date],168)&gt;MAX(tblHistory[Date])-364,INDEX(tblHistory[Date],168),""),"")</f>
        <v/>
      </c>
      <c r="K169" s="43">
        <f>IF(J169="",NA(),IFERROR(INDEX(tblHistory[EquityP],168),NA()))</f>
        <v/>
      </c>
      <c r="L169" s="43">
        <f>IF(J169="",NA(),IFERROR(INDEX(tblHistory[FinP],168),NA()))</f>
        <v/>
      </c>
      <c r="M169" s="43">
        <f>IF(J169="",NA(),IFERROR(INDEX(tblHistory[CreditP],168),NA()))</f>
        <v/>
      </c>
      <c r="N169" s="43">
        <f>IF(J169="",NA(),IFERROR(INDEX(tblHistory[Score],168),NA()))</f>
        <v/>
      </c>
    </row>
    <row r="170">
      <c r="J170" s="45">
        <f>IFERROR(IF(INDEX(tblHistory[Date],169)&gt;MAX(tblHistory[Date])-364,INDEX(tblHistory[Date],169),""),"")</f>
        <v/>
      </c>
      <c r="K170" s="43">
        <f>IF(J170="",NA(),IFERROR(INDEX(tblHistory[EquityP],169),NA()))</f>
        <v/>
      </c>
      <c r="L170" s="43">
        <f>IF(J170="",NA(),IFERROR(INDEX(tblHistory[FinP],169),NA()))</f>
        <v/>
      </c>
      <c r="M170" s="43">
        <f>IF(J170="",NA(),IFERROR(INDEX(tblHistory[CreditP],169),NA()))</f>
        <v/>
      </c>
      <c r="N170" s="43">
        <f>IF(J170="",NA(),IFERROR(INDEX(tblHistory[Score],169),NA()))</f>
        <v/>
      </c>
    </row>
    <row r="171">
      <c r="J171" s="45">
        <f>IFERROR(IF(INDEX(tblHistory[Date],170)&gt;MAX(tblHistory[Date])-364,INDEX(tblHistory[Date],170),""),"")</f>
        <v/>
      </c>
      <c r="K171" s="43">
        <f>IF(J171="",NA(),IFERROR(INDEX(tblHistory[EquityP],170),NA()))</f>
        <v/>
      </c>
      <c r="L171" s="43">
        <f>IF(J171="",NA(),IFERROR(INDEX(tblHistory[FinP],170),NA()))</f>
        <v/>
      </c>
      <c r="M171" s="43">
        <f>IF(J171="",NA(),IFERROR(INDEX(tblHistory[CreditP],170),NA()))</f>
        <v/>
      </c>
      <c r="N171" s="43">
        <f>IF(J171="",NA(),IFERROR(INDEX(tblHistory[Score],170),NA()))</f>
        <v/>
      </c>
    </row>
    <row r="172">
      <c r="J172" s="45">
        <f>IFERROR(IF(INDEX(tblHistory[Date],171)&gt;MAX(tblHistory[Date])-364,INDEX(tblHistory[Date],171),""),"")</f>
        <v/>
      </c>
      <c r="K172" s="43">
        <f>IF(J172="",NA(),IFERROR(INDEX(tblHistory[EquityP],171),NA()))</f>
        <v/>
      </c>
      <c r="L172" s="43">
        <f>IF(J172="",NA(),IFERROR(INDEX(tblHistory[FinP],171),NA()))</f>
        <v/>
      </c>
      <c r="M172" s="43">
        <f>IF(J172="",NA(),IFERROR(INDEX(tblHistory[CreditP],171),NA()))</f>
        <v/>
      </c>
      <c r="N172" s="43">
        <f>IF(J172="",NA(),IFERROR(INDEX(tblHistory[Score],171),NA()))</f>
        <v/>
      </c>
    </row>
    <row r="173">
      <c r="J173" s="45">
        <f>IFERROR(IF(INDEX(tblHistory[Date],172)&gt;MAX(tblHistory[Date])-364,INDEX(tblHistory[Date],172),""),"")</f>
        <v/>
      </c>
      <c r="K173" s="43">
        <f>IF(J173="",NA(),IFERROR(INDEX(tblHistory[EquityP],172),NA()))</f>
        <v/>
      </c>
      <c r="L173" s="43">
        <f>IF(J173="",NA(),IFERROR(INDEX(tblHistory[FinP],172),NA()))</f>
        <v/>
      </c>
      <c r="M173" s="43">
        <f>IF(J173="",NA(),IFERROR(INDEX(tblHistory[CreditP],172),NA()))</f>
        <v/>
      </c>
      <c r="N173" s="43">
        <f>IF(J173="",NA(),IFERROR(INDEX(tblHistory[Score],172),NA()))</f>
        <v/>
      </c>
    </row>
    <row r="174">
      <c r="J174" s="45">
        <f>IFERROR(IF(INDEX(tblHistory[Date],173)&gt;MAX(tblHistory[Date])-364,INDEX(tblHistory[Date],173),""),"")</f>
        <v/>
      </c>
      <c r="K174" s="43">
        <f>IF(J174="",NA(),IFERROR(INDEX(tblHistory[EquityP],173),NA()))</f>
        <v/>
      </c>
      <c r="L174" s="43">
        <f>IF(J174="",NA(),IFERROR(INDEX(tblHistory[FinP],173),NA()))</f>
        <v/>
      </c>
      <c r="M174" s="43">
        <f>IF(J174="",NA(),IFERROR(INDEX(tblHistory[CreditP],173),NA()))</f>
        <v/>
      </c>
      <c r="N174" s="43">
        <f>IF(J174="",NA(),IFERROR(INDEX(tblHistory[Score],173),NA()))</f>
        <v/>
      </c>
    </row>
    <row r="175">
      <c r="J175" s="45">
        <f>IFERROR(IF(INDEX(tblHistory[Date],174)&gt;MAX(tblHistory[Date])-364,INDEX(tblHistory[Date],174),""),"")</f>
        <v/>
      </c>
      <c r="K175" s="43">
        <f>IF(J175="",NA(),IFERROR(INDEX(tblHistory[EquityP],174),NA()))</f>
        <v/>
      </c>
      <c r="L175" s="43">
        <f>IF(J175="",NA(),IFERROR(INDEX(tblHistory[FinP],174),NA()))</f>
        <v/>
      </c>
      <c r="M175" s="43">
        <f>IF(J175="",NA(),IFERROR(INDEX(tblHistory[CreditP],174),NA()))</f>
        <v/>
      </c>
      <c r="N175" s="43">
        <f>IF(J175="",NA(),IFERROR(INDEX(tblHistory[Score],174),NA()))</f>
        <v/>
      </c>
    </row>
    <row r="176">
      <c r="J176" s="45">
        <f>IFERROR(IF(INDEX(tblHistory[Date],175)&gt;MAX(tblHistory[Date])-364,INDEX(tblHistory[Date],175),""),"")</f>
        <v/>
      </c>
      <c r="K176" s="43">
        <f>IF(J176="",NA(),IFERROR(INDEX(tblHistory[EquityP],175),NA()))</f>
        <v/>
      </c>
      <c r="L176" s="43">
        <f>IF(J176="",NA(),IFERROR(INDEX(tblHistory[FinP],175),NA()))</f>
        <v/>
      </c>
      <c r="M176" s="43">
        <f>IF(J176="",NA(),IFERROR(INDEX(tblHistory[CreditP],175),NA()))</f>
        <v/>
      </c>
      <c r="N176" s="43">
        <f>IF(J176="",NA(),IFERROR(INDEX(tblHistory[Score],175),NA()))</f>
        <v/>
      </c>
    </row>
    <row r="177">
      <c r="J177" s="45">
        <f>IFERROR(IF(INDEX(tblHistory[Date],176)&gt;MAX(tblHistory[Date])-364,INDEX(tblHistory[Date],176),""),"")</f>
        <v/>
      </c>
      <c r="K177" s="43">
        <f>IF(J177="",NA(),IFERROR(INDEX(tblHistory[EquityP],176),NA()))</f>
        <v/>
      </c>
      <c r="L177" s="43">
        <f>IF(J177="",NA(),IFERROR(INDEX(tblHistory[FinP],176),NA()))</f>
        <v/>
      </c>
      <c r="M177" s="43">
        <f>IF(J177="",NA(),IFERROR(INDEX(tblHistory[CreditP],176),NA()))</f>
        <v/>
      </c>
      <c r="N177" s="43">
        <f>IF(J177="",NA(),IFERROR(INDEX(tblHistory[Score],176),NA()))</f>
        <v/>
      </c>
    </row>
    <row r="178">
      <c r="J178" s="45">
        <f>IFERROR(IF(INDEX(tblHistory[Date],177)&gt;MAX(tblHistory[Date])-364,INDEX(tblHistory[Date],177),""),"")</f>
        <v/>
      </c>
      <c r="K178" s="43">
        <f>IF(J178="",NA(),IFERROR(INDEX(tblHistory[EquityP],177),NA()))</f>
        <v/>
      </c>
      <c r="L178" s="43">
        <f>IF(J178="",NA(),IFERROR(INDEX(tblHistory[FinP],177),NA()))</f>
        <v/>
      </c>
      <c r="M178" s="43">
        <f>IF(J178="",NA(),IFERROR(INDEX(tblHistory[CreditP],177),NA()))</f>
        <v/>
      </c>
      <c r="N178" s="43">
        <f>IF(J178="",NA(),IFERROR(INDEX(tblHistory[Score],177),NA()))</f>
        <v/>
      </c>
    </row>
    <row r="179">
      <c r="J179" s="45">
        <f>IFERROR(IF(INDEX(tblHistory[Date],178)&gt;MAX(tblHistory[Date])-364,INDEX(tblHistory[Date],178),""),"")</f>
        <v/>
      </c>
      <c r="K179" s="43">
        <f>IF(J179="",NA(),IFERROR(INDEX(tblHistory[EquityP],178),NA()))</f>
        <v/>
      </c>
      <c r="L179" s="43">
        <f>IF(J179="",NA(),IFERROR(INDEX(tblHistory[FinP],178),NA()))</f>
        <v/>
      </c>
      <c r="M179" s="43">
        <f>IF(J179="",NA(),IFERROR(INDEX(tblHistory[CreditP],178),NA()))</f>
        <v/>
      </c>
      <c r="N179" s="43">
        <f>IF(J179="",NA(),IFERROR(INDEX(tblHistory[Score],178),NA()))</f>
        <v/>
      </c>
    </row>
    <row r="180">
      <c r="J180" s="45">
        <f>IFERROR(IF(INDEX(tblHistory[Date],179)&gt;MAX(tblHistory[Date])-364,INDEX(tblHistory[Date],179),""),"")</f>
        <v/>
      </c>
      <c r="K180" s="43">
        <f>IF(J180="",NA(),IFERROR(INDEX(tblHistory[EquityP],179),NA()))</f>
        <v/>
      </c>
      <c r="L180" s="43">
        <f>IF(J180="",NA(),IFERROR(INDEX(tblHistory[FinP],179),NA()))</f>
        <v/>
      </c>
      <c r="M180" s="43">
        <f>IF(J180="",NA(),IFERROR(INDEX(tblHistory[CreditP],179),NA()))</f>
        <v/>
      </c>
      <c r="N180" s="43">
        <f>IF(J180="",NA(),IFERROR(INDEX(tblHistory[Score],179),NA()))</f>
        <v/>
      </c>
    </row>
    <row r="181">
      <c r="J181" s="45">
        <f>IFERROR(IF(INDEX(tblHistory[Date],180)&gt;MAX(tblHistory[Date])-364,INDEX(tblHistory[Date],180),""),"")</f>
        <v/>
      </c>
      <c r="K181" s="43">
        <f>IF(J181="",NA(),IFERROR(INDEX(tblHistory[EquityP],180),NA()))</f>
        <v/>
      </c>
      <c r="L181" s="43">
        <f>IF(J181="",NA(),IFERROR(INDEX(tblHistory[FinP],180),NA()))</f>
        <v/>
      </c>
      <c r="M181" s="43">
        <f>IF(J181="",NA(),IFERROR(INDEX(tblHistory[CreditP],180),NA()))</f>
        <v/>
      </c>
      <c r="N181" s="43">
        <f>IF(J181="",NA(),IFERROR(INDEX(tblHistory[Score],180),NA()))</f>
        <v/>
      </c>
    </row>
    <row r="182">
      <c r="J182" s="45">
        <f>IFERROR(IF(INDEX(tblHistory[Date],181)&gt;MAX(tblHistory[Date])-364,INDEX(tblHistory[Date],181),""),"")</f>
        <v/>
      </c>
      <c r="K182" s="43">
        <f>IF(J182="",NA(),IFERROR(INDEX(tblHistory[EquityP],181),NA()))</f>
        <v/>
      </c>
      <c r="L182" s="43">
        <f>IF(J182="",NA(),IFERROR(INDEX(tblHistory[FinP],181),NA()))</f>
        <v/>
      </c>
      <c r="M182" s="43">
        <f>IF(J182="",NA(),IFERROR(INDEX(tblHistory[CreditP],181),NA()))</f>
        <v/>
      </c>
      <c r="N182" s="43">
        <f>IF(J182="",NA(),IFERROR(INDEX(tblHistory[Score],181),NA()))</f>
        <v/>
      </c>
    </row>
    <row r="183">
      <c r="J183" s="45">
        <f>IFERROR(IF(INDEX(tblHistory[Date],182)&gt;MAX(tblHistory[Date])-364,INDEX(tblHistory[Date],182),""),"")</f>
        <v/>
      </c>
      <c r="K183" s="43">
        <f>IF(J183="",NA(),IFERROR(INDEX(tblHistory[EquityP],182),NA()))</f>
        <v/>
      </c>
      <c r="L183" s="43">
        <f>IF(J183="",NA(),IFERROR(INDEX(tblHistory[FinP],182),NA()))</f>
        <v/>
      </c>
      <c r="M183" s="43">
        <f>IF(J183="",NA(),IFERROR(INDEX(tblHistory[CreditP],182),NA()))</f>
        <v/>
      </c>
      <c r="N183" s="43">
        <f>IF(J183="",NA(),IFERROR(INDEX(tblHistory[Score],182),NA()))</f>
        <v/>
      </c>
    </row>
    <row r="184">
      <c r="J184" s="45">
        <f>IFERROR(IF(INDEX(tblHistory[Date],183)&gt;MAX(tblHistory[Date])-364,INDEX(tblHistory[Date],183),""),"")</f>
        <v/>
      </c>
      <c r="K184" s="43">
        <f>IF(J184="",NA(),IFERROR(INDEX(tblHistory[EquityP],183),NA()))</f>
        <v/>
      </c>
      <c r="L184" s="43">
        <f>IF(J184="",NA(),IFERROR(INDEX(tblHistory[FinP],183),NA()))</f>
        <v/>
      </c>
      <c r="M184" s="43">
        <f>IF(J184="",NA(),IFERROR(INDEX(tblHistory[CreditP],183),NA()))</f>
        <v/>
      </c>
      <c r="N184" s="43">
        <f>IF(J184="",NA(),IFERROR(INDEX(tblHistory[Score],183),NA()))</f>
        <v/>
      </c>
    </row>
    <row r="185">
      <c r="J185" s="45">
        <f>IFERROR(IF(INDEX(tblHistory[Date],184)&gt;MAX(tblHistory[Date])-364,INDEX(tblHistory[Date],184),""),"")</f>
        <v/>
      </c>
      <c r="K185" s="43">
        <f>IF(J185="",NA(),IFERROR(INDEX(tblHistory[EquityP],184),NA()))</f>
        <v/>
      </c>
      <c r="L185" s="43">
        <f>IF(J185="",NA(),IFERROR(INDEX(tblHistory[FinP],184),NA()))</f>
        <v/>
      </c>
      <c r="M185" s="43">
        <f>IF(J185="",NA(),IFERROR(INDEX(tblHistory[CreditP],184),NA()))</f>
        <v/>
      </c>
      <c r="N185" s="43">
        <f>IF(J185="",NA(),IFERROR(INDEX(tblHistory[Score],184),NA()))</f>
        <v/>
      </c>
    </row>
    <row r="186">
      <c r="J186" s="45">
        <f>IFERROR(IF(INDEX(tblHistory[Date],185)&gt;MAX(tblHistory[Date])-364,INDEX(tblHistory[Date],185),""),"")</f>
        <v/>
      </c>
      <c r="K186" s="43">
        <f>IF(J186="",NA(),IFERROR(INDEX(tblHistory[EquityP],185),NA()))</f>
        <v/>
      </c>
      <c r="L186" s="43">
        <f>IF(J186="",NA(),IFERROR(INDEX(tblHistory[FinP],185),NA()))</f>
        <v/>
      </c>
      <c r="M186" s="43">
        <f>IF(J186="",NA(),IFERROR(INDEX(tblHistory[CreditP],185),NA()))</f>
        <v/>
      </c>
      <c r="N186" s="43">
        <f>IF(J186="",NA(),IFERROR(INDEX(tblHistory[Score],185),NA()))</f>
        <v/>
      </c>
    </row>
    <row r="187">
      <c r="J187" s="45">
        <f>IFERROR(IF(INDEX(tblHistory[Date],186)&gt;MAX(tblHistory[Date])-364,INDEX(tblHistory[Date],186),""),"")</f>
        <v/>
      </c>
      <c r="K187" s="43">
        <f>IF(J187="",NA(),IFERROR(INDEX(tblHistory[EquityP],186),NA()))</f>
        <v/>
      </c>
      <c r="L187" s="43">
        <f>IF(J187="",NA(),IFERROR(INDEX(tblHistory[FinP],186),NA()))</f>
        <v/>
      </c>
      <c r="M187" s="43">
        <f>IF(J187="",NA(),IFERROR(INDEX(tblHistory[CreditP],186),NA()))</f>
        <v/>
      </c>
      <c r="N187" s="43">
        <f>IF(J187="",NA(),IFERROR(INDEX(tblHistory[Score],186),NA()))</f>
        <v/>
      </c>
    </row>
    <row r="188">
      <c r="J188" s="45">
        <f>IFERROR(IF(INDEX(tblHistory[Date],187)&gt;MAX(tblHistory[Date])-364,INDEX(tblHistory[Date],187),""),"")</f>
        <v/>
      </c>
      <c r="K188" s="43">
        <f>IF(J188="",NA(),IFERROR(INDEX(tblHistory[EquityP],187),NA()))</f>
        <v/>
      </c>
      <c r="L188" s="43">
        <f>IF(J188="",NA(),IFERROR(INDEX(tblHistory[FinP],187),NA()))</f>
        <v/>
      </c>
      <c r="M188" s="43">
        <f>IF(J188="",NA(),IFERROR(INDEX(tblHistory[CreditP],187),NA()))</f>
        <v/>
      </c>
      <c r="N188" s="43">
        <f>IF(J188="",NA(),IFERROR(INDEX(tblHistory[Score],187),NA()))</f>
        <v/>
      </c>
    </row>
    <row r="189">
      <c r="J189" s="45">
        <f>IFERROR(IF(INDEX(tblHistory[Date],188)&gt;MAX(tblHistory[Date])-364,INDEX(tblHistory[Date],188),""),"")</f>
        <v/>
      </c>
      <c r="K189" s="43">
        <f>IF(J189="",NA(),IFERROR(INDEX(tblHistory[EquityP],188),NA()))</f>
        <v/>
      </c>
      <c r="L189" s="43">
        <f>IF(J189="",NA(),IFERROR(INDEX(tblHistory[FinP],188),NA()))</f>
        <v/>
      </c>
      <c r="M189" s="43">
        <f>IF(J189="",NA(),IFERROR(INDEX(tblHistory[CreditP],188),NA()))</f>
        <v/>
      </c>
      <c r="N189" s="43">
        <f>IF(J189="",NA(),IFERROR(INDEX(tblHistory[Score],188),NA()))</f>
        <v/>
      </c>
    </row>
    <row r="190">
      <c r="J190" s="45">
        <f>IFERROR(IF(INDEX(tblHistory[Date],189)&gt;MAX(tblHistory[Date])-364,INDEX(tblHistory[Date],189),""),"")</f>
        <v/>
      </c>
      <c r="K190" s="43">
        <f>IF(J190="",NA(),IFERROR(INDEX(tblHistory[EquityP],189),NA()))</f>
        <v/>
      </c>
      <c r="L190" s="43">
        <f>IF(J190="",NA(),IFERROR(INDEX(tblHistory[FinP],189),NA()))</f>
        <v/>
      </c>
      <c r="M190" s="43">
        <f>IF(J190="",NA(),IFERROR(INDEX(tblHistory[CreditP],189),NA()))</f>
        <v/>
      </c>
      <c r="N190" s="43">
        <f>IF(J190="",NA(),IFERROR(INDEX(tblHistory[Score],189),NA()))</f>
        <v/>
      </c>
    </row>
    <row r="191">
      <c r="J191" s="45">
        <f>IFERROR(IF(INDEX(tblHistory[Date],190)&gt;MAX(tblHistory[Date])-364,INDEX(tblHistory[Date],190),""),"")</f>
        <v/>
      </c>
      <c r="K191" s="43">
        <f>IF(J191="",NA(),IFERROR(INDEX(tblHistory[EquityP],190),NA()))</f>
        <v/>
      </c>
      <c r="L191" s="43">
        <f>IF(J191="",NA(),IFERROR(INDEX(tblHistory[FinP],190),NA()))</f>
        <v/>
      </c>
      <c r="M191" s="43">
        <f>IF(J191="",NA(),IFERROR(INDEX(tblHistory[CreditP],190),NA()))</f>
        <v/>
      </c>
      <c r="N191" s="43">
        <f>IF(J191="",NA(),IFERROR(INDEX(tblHistory[Score],190),NA()))</f>
        <v/>
      </c>
    </row>
    <row r="192">
      <c r="J192" s="45">
        <f>IFERROR(IF(INDEX(tblHistory[Date],191)&gt;MAX(tblHistory[Date])-364,INDEX(tblHistory[Date],191),""),"")</f>
        <v/>
      </c>
      <c r="K192" s="43">
        <f>IF(J192="",NA(),IFERROR(INDEX(tblHistory[EquityP],191),NA()))</f>
        <v/>
      </c>
      <c r="L192" s="43">
        <f>IF(J192="",NA(),IFERROR(INDEX(tblHistory[FinP],191),NA()))</f>
        <v/>
      </c>
      <c r="M192" s="43">
        <f>IF(J192="",NA(),IFERROR(INDEX(tblHistory[CreditP],191),NA()))</f>
        <v/>
      </c>
      <c r="N192" s="43">
        <f>IF(J192="",NA(),IFERROR(INDEX(tblHistory[Score],191),NA()))</f>
        <v/>
      </c>
    </row>
    <row r="193">
      <c r="J193" s="45">
        <f>IFERROR(IF(INDEX(tblHistory[Date],192)&gt;MAX(tblHistory[Date])-364,INDEX(tblHistory[Date],192),""),"")</f>
        <v/>
      </c>
      <c r="K193" s="43">
        <f>IF(J193="",NA(),IFERROR(INDEX(tblHistory[EquityP],192),NA()))</f>
        <v/>
      </c>
      <c r="L193" s="43">
        <f>IF(J193="",NA(),IFERROR(INDEX(tblHistory[FinP],192),NA()))</f>
        <v/>
      </c>
      <c r="M193" s="43">
        <f>IF(J193="",NA(),IFERROR(INDEX(tblHistory[CreditP],192),NA()))</f>
        <v/>
      </c>
      <c r="N193" s="43">
        <f>IF(J193="",NA(),IFERROR(INDEX(tblHistory[Score],192),NA()))</f>
        <v/>
      </c>
    </row>
    <row r="194">
      <c r="J194" s="45">
        <f>IFERROR(IF(INDEX(tblHistory[Date],193)&gt;MAX(tblHistory[Date])-364,INDEX(tblHistory[Date],193),""),"")</f>
        <v/>
      </c>
      <c r="K194" s="43">
        <f>IF(J194="",NA(),IFERROR(INDEX(tblHistory[EquityP],193),NA()))</f>
        <v/>
      </c>
      <c r="L194" s="43">
        <f>IF(J194="",NA(),IFERROR(INDEX(tblHistory[FinP],193),NA()))</f>
        <v/>
      </c>
      <c r="M194" s="43">
        <f>IF(J194="",NA(),IFERROR(INDEX(tblHistory[CreditP],193),NA()))</f>
        <v/>
      </c>
      <c r="N194" s="43">
        <f>IF(J194="",NA(),IFERROR(INDEX(tblHistory[Score],193),NA()))</f>
        <v/>
      </c>
    </row>
    <row r="195">
      <c r="J195" s="45">
        <f>IFERROR(IF(INDEX(tblHistory[Date],194)&gt;MAX(tblHistory[Date])-364,INDEX(tblHistory[Date],194),""),"")</f>
        <v/>
      </c>
      <c r="K195" s="43">
        <f>IF(J195="",NA(),IFERROR(INDEX(tblHistory[EquityP],194),NA()))</f>
        <v/>
      </c>
      <c r="L195" s="43">
        <f>IF(J195="",NA(),IFERROR(INDEX(tblHistory[FinP],194),NA()))</f>
        <v/>
      </c>
      <c r="M195" s="43">
        <f>IF(J195="",NA(),IFERROR(INDEX(tblHistory[CreditP],194),NA()))</f>
        <v/>
      </c>
      <c r="N195" s="43">
        <f>IF(J195="",NA(),IFERROR(INDEX(tblHistory[Score],194),NA()))</f>
        <v/>
      </c>
    </row>
    <row r="196">
      <c r="J196" s="45">
        <f>IFERROR(IF(INDEX(tblHistory[Date],195)&gt;MAX(tblHistory[Date])-364,INDEX(tblHistory[Date],195),""),"")</f>
        <v/>
      </c>
      <c r="K196" s="43">
        <f>IF(J196="",NA(),IFERROR(INDEX(tblHistory[EquityP],195),NA()))</f>
        <v/>
      </c>
      <c r="L196" s="43">
        <f>IF(J196="",NA(),IFERROR(INDEX(tblHistory[FinP],195),NA()))</f>
        <v/>
      </c>
      <c r="M196" s="43">
        <f>IF(J196="",NA(),IFERROR(INDEX(tblHistory[CreditP],195),NA()))</f>
        <v/>
      </c>
      <c r="N196" s="43">
        <f>IF(J196="",NA(),IFERROR(INDEX(tblHistory[Score],195),NA()))</f>
        <v/>
      </c>
    </row>
    <row r="197">
      <c r="J197" s="45">
        <f>IFERROR(IF(INDEX(tblHistory[Date],196)&gt;MAX(tblHistory[Date])-364,INDEX(tblHistory[Date],196),""),"")</f>
        <v/>
      </c>
      <c r="K197" s="43">
        <f>IF(J197="",NA(),IFERROR(INDEX(tblHistory[EquityP],196),NA()))</f>
        <v/>
      </c>
      <c r="L197" s="43">
        <f>IF(J197="",NA(),IFERROR(INDEX(tblHistory[FinP],196),NA()))</f>
        <v/>
      </c>
      <c r="M197" s="43">
        <f>IF(J197="",NA(),IFERROR(INDEX(tblHistory[CreditP],196),NA()))</f>
        <v/>
      </c>
      <c r="N197" s="43">
        <f>IF(J197="",NA(),IFERROR(INDEX(tblHistory[Score],196),NA()))</f>
        <v/>
      </c>
    </row>
    <row r="198">
      <c r="J198" s="45">
        <f>IFERROR(IF(INDEX(tblHistory[Date],197)&gt;MAX(tblHistory[Date])-364,INDEX(tblHistory[Date],197),""),"")</f>
        <v/>
      </c>
      <c r="K198" s="43">
        <f>IF(J198="",NA(),IFERROR(INDEX(tblHistory[EquityP],197),NA()))</f>
        <v/>
      </c>
      <c r="L198" s="43">
        <f>IF(J198="",NA(),IFERROR(INDEX(tblHistory[FinP],197),NA()))</f>
        <v/>
      </c>
      <c r="M198" s="43">
        <f>IF(J198="",NA(),IFERROR(INDEX(tblHistory[CreditP],197),NA()))</f>
        <v/>
      </c>
      <c r="N198" s="43">
        <f>IF(J198="",NA(),IFERROR(INDEX(tblHistory[Score],197),NA()))</f>
        <v/>
      </c>
    </row>
    <row r="199">
      <c r="J199" s="45">
        <f>IFERROR(IF(INDEX(tblHistory[Date],198)&gt;MAX(tblHistory[Date])-364,INDEX(tblHistory[Date],198),""),"")</f>
        <v/>
      </c>
      <c r="K199" s="43">
        <f>IF(J199="",NA(),IFERROR(INDEX(tblHistory[EquityP],198),NA()))</f>
        <v/>
      </c>
      <c r="L199" s="43">
        <f>IF(J199="",NA(),IFERROR(INDEX(tblHistory[FinP],198),NA()))</f>
        <v/>
      </c>
      <c r="M199" s="43">
        <f>IF(J199="",NA(),IFERROR(INDEX(tblHistory[CreditP],198),NA()))</f>
        <v/>
      </c>
      <c r="N199" s="43">
        <f>IF(J199="",NA(),IFERROR(INDEX(tblHistory[Score],198),NA()))</f>
        <v/>
      </c>
    </row>
    <row r="200">
      <c r="J200" s="45">
        <f>IFERROR(IF(INDEX(tblHistory[Date],199)&gt;MAX(tblHistory[Date])-364,INDEX(tblHistory[Date],199),""),"")</f>
        <v/>
      </c>
      <c r="K200" s="43">
        <f>IF(J200="",NA(),IFERROR(INDEX(tblHistory[EquityP],199),NA()))</f>
        <v/>
      </c>
      <c r="L200" s="43">
        <f>IF(J200="",NA(),IFERROR(INDEX(tblHistory[FinP],199),NA()))</f>
        <v/>
      </c>
      <c r="M200" s="43">
        <f>IF(J200="",NA(),IFERROR(INDEX(tblHistory[CreditP],199),NA()))</f>
        <v/>
      </c>
      <c r="N200" s="43">
        <f>IF(J200="",NA(),IFERROR(INDEX(tblHistory[Score],199),NA()))</f>
        <v/>
      </c>
    </row>
    <row r="201">
      <c r="J201" s="45">
        <f>IFERROR(IF(INDEX(tblHistory[Date],200)&gt;MAX(tblHistory[Date])-364,INDEX(tblHistory[Date],200),""),"")</f>
        <v/>
      </c>
      <c r="K201" s="43">
        <f>IF(J201="",NA(),IFERROR(INDEX(tblHistory[EquityP],200),NA()))</f>
        <v/>
      </c>
      <c r="L201" s="43">
        <f>IF(J201="",NA(),IFERROR(INDEX(tblHistory[FinP],200),NA()))</f>
        <v/>
      </c>
      <c r="M201" s="43">
        <f>IF(J201="",NA(),IFERROR(INDEX(tblHistory[CreditP],200),NA()))</f>
        <v/>
      </c>
      <c r="N201" s="43">
        <f>IF(J201="",NA(),IFERROR(INDEX(tblHistory[Score],200),NA()))</f>
        <v/>
      </c>
    </row>
    <row r="202">
      <c r="J202" s="45">
        <f>IFERROR(IF(INDEX(tblHistory[Date],201)&gt;MAX(tblHistory[Date])-364,INDEX(tblHistory[Date],201),""),"")</f>
        <v/>
      </c>
      <c r="K202" s="43">
        <f>IF(J202="",NA(),IFERROR(INDEX(tblHistory[EquityP],201),NA()))</f>
        <v/>
      </c>
      <c r="L202" s="43">
        <f>IF(J202="",NA(),IFERROR(INDEX(tblHistory[FinP],201),NA()))</f>
        <v/>
      </c>
      <c r="M202" s="43">
        <f>IF(J202="",NA(),IFERROR(INDEX(tblHistory[CreditP],201),NA()))</f>
        <v/>
      </c>
      <c r="N202" s="43">
        <f>IF(J202="",NA(),IFERROR(INDEX(tblHistory[Score],201),NA()))</f>
        <v/>
      </c>
    </row>
    <row r="203">
      <c r="J203" s="45">
        <f>IFERROR(IF(INDEX(tblHistory[Date],202)&gt;MAX(tblHistory[Date])-364,INDEX(tblHistory[Date],202),""),"")</f>
        <v/>
      </c>
      <c r="K203" s="43">
        <f>IF(J203="",NA(),IFERROR(INDEX(tblHistory[EquityP],202),NA()))</f>
        <v/>
      </c>
      <c r="L203" s="43">
        <f>IF(J203="",NA(),IFERROR(INDEX(tblHistory[FinP],202),NA()))</f>
        <v/>
      </c>
      <c r="M203" s="43">
        <f>IF(J203="",NA(),IFERROR(INDEX(tblHistory[CreditP],202),NA()))</f>
        <v/>
      </c>
      <c r="N203" s="43">
        <f>IF(J203="",NA(),IFERROR(INDEX(tblHistory[Score],202),NA()))</f>
        <v/>
      </c>
    </row>
    <row r="204">
      <c r="J204" s="45">
        <f>IFERROR(IF(INDEX(tblHistory[Date],203)&gt;MAX(tblHistory[Date])-364,INDEX(tblHistory[Date],203),""),"")</f>
        <v/>
      </c>
      <c r="K204" s="43">
        <f>IF(J204="",NA(),IFERROR(INDEX(tblHistory[EquityP],203),NA()))</f>
        <v/>
      </c>
      <c r="L204" s="43">
        <f>IF(J204="",NA(),IFERROR(INDEX(tblHistory[FinP],203),NA()))</f>
        <v/>
      </c>
      <c r="M204" s="43">
        <f>IF(J204="",NA(),IFERROR(INDEX(tblHistory[CreditP],203),NA()))</f>
        <v/>
      </c>
      <c r="N204" s="43">
        <f>IF(J204="",NA(),IFERROR(INDEX(tblHistory[Score],203),NA()))</f>
        <v/>
      </c>
    </row>
    <row r="205">
      <c r="J205" s="45">
        <f>IFERROR(IF(INDEX(tblHistory[Date],204)&gt;MAX(tblHistory[Date])-364,INDEX(tblHistory[Date],204),""),"")</f>
        <v/>
      </c>
      <c r="K205" s="43">
        <f>IF(J205="",NA(),IFERROR(INDEX(tblHistory[EquityP],204),NA()))</f>
        <v/>
      </c>
      <c r="L205" s="43">
        <f>IF(J205="",NA(),IFERROR(INDEX(tblHistory[FinP],204),NA()))</f>
        <v/>
      </c>
      <c r="M205" s="43">
        <f>IF(J205="",NA(),IFERROR(INDEX(tblHistory[CreditP],204),NA()))</f>
        <v/>
      </c>
      <c r="N205" s="43">
        <f>IF(J205="",NA(),IFERROR(INDEX(tblHistory[Score],204),NA()))</f>
        <v/>
      </c>
    </row>
    <row r="206">
      <c r="J206" s="45">
        <f>IFERROR(IF(INDEX(tblHistory[Date],205)&gt;MAX(tblHistory[Date])-364,INDEX(tblHistory[Date],205),""),"")</f>
        <v/>
      </c>
      <c r="K206" s="43">
        <f>IF(J206="",NA(),IFERROR(INDEX(tblHistory[EquityP],205),NA()))</f>
        <v/>
      </c>
      <c r="L206" s="43">
        <f>IF(J206="",NA(),IFERROR(INDEX(tblHistory[FinP],205),NA()))</f>
        <v/>
      </c>
      <c r="M206" s="43">
        <f>IF(J206="",NA(),IFERROR(INDEX(tblHistory[CreditP],205),NA()))</f>
        <v/>
      </c>
      <c r="N206" s="43">
        <f>IF(J206="",NA(),IFERROR(INDEX(tblHistory[Score],205),NA()))</f>
        <v/>
      </c>
    </row>
    <row r="207">
      <c r="J207" s="45">
        <f>IFERROR(IF(INDEX(tblHistory[Date],206)&gt;MAX(tblHistory[Date])-364,INDEX(tblHistory[Date],206),""),"")</f>
        <v/>
      </c>
      <c r="K207" s="43">
        <f>IF(J207="",NA(),IFERROR(INDEX(tblHistory[EquityP],206),NA()))</f>
        <v/>
      </c>
      <c r="L207" s="43">
        <f>IF(J207="",NA(),IFERROR(INDEX(tblHistory[FinP],206),NA()))</f>
        <v/>
      </c>
      <c r="M207" s="43">
        <f>IF(J207="",NA(),IFERROR(INDEX(tblHistory[CreditP],206),NA()))</f>
        <v/>
      </c>
      <c r="N207" s="43">
        <f>IF(J207="",NA(),IFERROR(INDEX(tblHistory[Score],206),NA()))</f>
        <v/>
      </c>
    </row>
    <row r="208">
      <c r="J208" s="45">
        <f>IFERROR(IF(INDEX(tblHistory[Date],207)&gt;MAX(tblHistory[Date])-364,INDEX(tblHistory[Date],207),""),"")</f>
        <v/>
      </c>
      <c r="K208" s="43">
        <f>IF(J208="",NA(),IFERROR(INDEX(tblHistory[EquityP],207),NA()))</f>
        <v/>
      </c>
      <c r="L208" s="43">
        <f>IF(J208="",NA(),IFERROR(INDEX(tblHistory[FinP],207),NA()))</f>
        <v/>
      </c>
      <c r="M208" s="43">
        <f>IF(J208="",NA(),IFERROR(INDEX(tblHistory[CreditP],207),NA()))</f>
        <v/>
      </c>
      <c r="N208" s="43">
        <f>IF(J208="",NA(),IFERROR(INDEX(tblHistory[Score],207),NA()))</f>
        <v/>
      </c>
    </row>
    <row r="209">
      <c r="J209" s="45">
        <f>IFERROR(IF(INDEX(tblHistory[Date],208)&gt;MAX(tblHistory[Date])-364,INDEX(tblHistory[Date],208),""),"")</f>
        <v/>
      </c>
      <c r="K209" s="43">
        <f>IF(J209="",NA(),IFERROR(INDEX(tblHistory[EquityP],208),NA()))</f>
        <v/>
      </c>
      <c r="L209" s="43">
        <f>IF(J209="",NA(),IFERROR(INDEX(tblHistory[FinP],208),NA()))</f>
        <v/>
      </c>
      <c r="M209" s="43">
        <f>IF(J209="",NA(),IFERROR(INDEX(tblHistory[CreditP],208),NA()))</f>
        <v/>
      </c>
      <c r="N209" s="43">
        <f>IF(J209="",NA(),IFERROR(INDEX(tblHistory[Score],208),NA()))</f>
        <v/>
      </c>
    </row>
    <row r="210">
      <c r="J210" s="45">
        <f>IFERROR(IF(INDEX(tblHistory[Date],209)&gt;MAX(tblHistory[Date])-364,INDEX(tblHistory[Date],209),""),"")</f>
        <v/>
      </c>
      <c r="K210" s="43">
        <f>IF(J210="",NA(),IFERROR(INDEX(tblHistory[EquityP],209),NA()))</f>
        <v/>
      </c>
      <c r="L210" s="43">
        <f>IF(J210="",NA(),IFERROR(INDEX(tblHistory[FinP],209),NA()))</f>
        <v/>
      </c>
      <c r="M210" s="43">
        <f>IF(J210="",NA(),IFERROR(INDEX(tblHistory[CreditP],209),NA()))</f>
        <v/>
      </c>
      <c r="N210" s="43">
        <f>IF(J210="",NA(),IFERROR(INDEX(tblHistory[Score],209),NA()))</f>
        <v/>
      </c>
    </row>
    <row r="211">
      <c r="J211" s="45">
        <f>IFERROR(IF(INDEX(tblHistory[Date],210)&gt;MAX(tblHistory[Date])-364,INDEX(tblHistory[Date],210),""),"")</f>
        <v/>
      </c>
      <c r="K211" s="43">
        <f>IF(J211="",NA(),IFERROR(INDEX(tblHistory[EquityP],210),NA()))</f>
        <v/>
      </c>
      <c r="L211" s="43">
        <f>IF(J211="",NA(),IFERROR(INDEX(tblHistory[FinP],210),NA()))</f>
        <v/>
      </c>
      <c r="M211" s="43">
        <f>IF(J211="",NA(),IFERROR(INDEX(tblHistory[CreditP],210),NA()))</f>
        <v/>
      </c>
      <c r="N211" s="43">
        <f>IF(J211="",NA(),IFERROR(INDEX(tblHistory[Score],210),NA()))</f>
        <v/>
      </c>
    </row>
    <row r="212">
      <c r="J212" s="45">
        <f>IFERROR(IF(INDEX(tblHistory[Date],211)&gt;MAX(tblHistory[Date])-364,INDEX(tblHistory[Date],211),""),"")</f>
        <v/>
      </c>
      <c r="K212" s="43">
        <f>IF(J212="",NA(),IFERROR(INDEX(tblHistory[EquityP],211),NA()))</f>
        <v/>
      </c>
      <c r="L212" s="43">
        <f>IF(J212="",NA(),IFERROR(INDEX(tblHistory[FinP],211),NA()))</f>
        <v/>
      </c>
      <c r="M212" s="43">
        <f>IF(J212="",NA(),IFERROR(INDEX(tblHistory[CreditP],211),NA()))</f>
        <v/>
      </c>
      <c r="N212" s="43">
        <f>IF(J212="",NA(),IFERROR(INDEX(tblHistory[Score],211),NA()))</f>
        <v/>
      </c>
    </row>
    <row r="213">
      <c r="J213" s="45">
        <f>IFERROR(IF(INDEX(tblHistory[Date],212)&gt;MAX(tblHistory[Date])-364,INDEX(tblHistory[Date],212),""),"")</f>
        <v/>
      </c>
      <c r="K213" s="43">
        <f>IF(J213="",NA(),IFERROR(INDEX(tblHistory[EquityP],212),NA()))</f>
        <v/>
      </c>
      <c r="L213" s="43">
        <f>IF(J213="",NA(),IFERROR(INDEX(tblHistory[FinP],212),NA()))</f>
        <v/>
      </c>
      <c r="M213" s="43">
        <f>IF(J213="",NA(),IFERROR(INDEX(tblHistory[CreditP],212),NA()))</f>
        <v/>
      </c>
      <c r="N213" s="43">
        <f>IF(J213="",NA(),IFERROR(INDEX(tblHistory[Score],212),NA()))</f>
        <v/>
      </c>
    </row>
    <row r="214">
      <c r="J214" s="45">
        <f>IFERROR(IF(INDEX(tblHistory[Date],213)&gt;MAX(tblHistory[Date])-364,INDEX(tblHistory[Date],213),""),"")</f>
        <v/>
      </c>
      <c r="K214" s="43">
        <f>IF(J214="",NA(),IFERROR(INDEX(tblHistory[EquityP],213),NA()))</f>
        <v/>
      </c>
      <c r="L214" s="43">
        <f>IF(J214="",NA(),IFERROR(INDEX(tblHistory[FinP],213),NA()))</f>
        <v/>
      </c>
      <c r="M214" s="43">
        <f>IF(J214="",NA(),IFERROR(INDEX(tblHistory[CreditP],213),NA()))</f>
        <v/>
      </c>
      <c r="N214" s="43">
        <f>IF(J214="",NA(),IFERROR(INDEX(tblHistory[Score],213),NA()))</f>
        <v/>
      </c>
    </row>
    <row r="215">
      <c r="J215" s="45">
        <f>IFERROR(IF(INDEX(tblHistory[Date],214)&gt;MAX(tblHistory[Date])-364,INDEX(tblHistory[Date],214),""),"")</f>
        <v/>
      </c>
      <c r="K215" s="43">
        <f>IF(J215="",NA(),IFERROR(INDEX(tblHistory[EquityP],214),NA()))</f>
        <v/>
      </c>
      <c r="L215" s="43">
        <f>IF(J215="",NA(),IFERROR(INDEX(tblHistory[FinP],214),NA()))</f>
        <v/>
      </c>
      <c r="M215" s="43">
        <f>IF(J215="",NA(),IFERROR(INDEX(tblHistory[CreditP],214),NA()))</f>
        <v/>
      </c>
      <c r="N215" s="43">
        <f>IF(J215="",NA(),IFERROR(INDEX(tblHistory[Score],214),NA()))</f>
        <v/>
      </c>
    </row>
    <row r="216">
      <c r="J216" s="45">
        <f>IFERROR(IF(INDEX(tblHistory[Date],215)&gt;MAX(tblHistory[Date])-364,INDEX(tblHistory[Date],215),""),"")</f>
        <v/>
      </c>
      <c r="K216" s="43">
        <f>IF(J216="",NA(),IFERROR(INDEX(tblHistory[EquityP],215),NA()))</f>
        <v/>
      </c>
      <c r="L216" s="43">
        <f>IF(J216="",NA(),IFERROR(INDEX(tblHistory[FinP],215),NA()))</f>
        <v/>
      </c>
      <c r="M216" s="43">
        <f>IF(J216="",NA(),IFERROR(INDEX(tblHistory[CreditP],215),NA()))</f>
        <v/>
      </c>
      <c r="N216" s="43">
        <f>IF(J216="",NA(),IFERROR(INDEX(tblHistory[Score],215),NA()))</f>
        <v/>
      </c>
    </row>
    <row r="217">
      <c r="J217" s="45">
        <f>IFERROR(IF(INDEX(tblHistory[Date],216)&gt;MAX(tblHistory[Date])-364,INDEX(tblHistory[Date],216),""),"")</f>
        <v/>
      </c>
      <c r="K217" s="43">
        <f>IF(J217="",NA(),IFERROR(INDEX(tblHistory[EquityP],216),NA()))</f>
        <v/>
      </c>
      <c r="L217" s="43">
        <f>IF(J217="",NA(),IFERROR(INDEX(tblHistory[FinP],216),NA()))</f>
        <v/>
      </c>
      <c r="M217" s="43">
        <f>IF(J217="",NA(),IFERROR(INDEX(tblHistory[CreditP],216),NA()))</f>
        <v/>
      </c>
      <c r="N217" s="43">
        <f>IF(J217="",NA(),IFERROR(INDEX(tblHistory[Score],216),NA()))</f>
        <v/>
      </c>
    </row>
    <row r="218">
      <c r="J218" s="45">
        <f>IFERROR(IF(INDEX(tblHistory[Date],217)&gt;MAX(tblHistory[Date])-364,INDEX(tblHistory[Date],217),""),"")</f>
        <v/>
      </c>
      <c r="K218" s="43">
        <f>IF(J218="",NA(),IFERROR(INDEX(tblHistory[EquityP],217),NA()))</f>
        <v/>
      </c>
      <c r="L218" s="43">
        <f>IF(J218="",NA(),IFERROR(INDEX(tblHistory[FinP],217),NA()))</f>
        <v/>
      </c>
      <c r="M218" s="43">
        <f>IF(J218="",NA(),IFERROR(INDEX(tblHistory[CreditP],217),NA()))</f>
        <v/>
      </c>
      <c r="N218" s="43">
        <f>IF(J218="",NA(),IFERROR(INDEX(tblHistory[Score],217),NA()))</f>
        <v/>
      </c>
    </row>
    <row r="219">
      <c r="J219" s="45">
        <f>IFERROR(IF(INDEX(tblHistory[Date],218)&gt;MAX(tblHistory[Date])-364,INDEX(tblHistory[Date],218),""),"")</f>
        <v/>
      </c>
      <c r="K219" s="43">
        <f>IF(J219="",NA(),IFERROR(INDEX(tblHistory[EquityP],218),NA()))</f>
        <v/>
      </c>
      <c r="L219" s="43">
        <f>IF(J219="",NA(),IFERROR(INDEX(tblHistory[FinP],218),NA()))</f>
        <v/>
      </c>
      <c r="M219" s="43">
        <f>IF(J219="",NA(),IFERROR(INDEX(tblHistory[CreditP],218),NA()))</f>
        <v/>
      </c>
      <c r="N219" s="43">
        <f>IF(J219="",NA(),IFERROR(INDEX(tblHistory[Score],218),NA()))</f>
        <v/>
      </c>
    </row>
    <row r="220">
      <c r="J220" s="45">
        <f>IFERROR(IF(INDEX(tblHistory[Date],219)&gt;MAX(tblHistory[Date])-364,INDEX(tblHistory[Date],219),""),"")</f>
        <v/>
      </c>
      <c r="K220" s="43">
        <f>IF(J220="",NA(),IFERROR(INDEX(tblHistory[EquityP],219),NA()))</f>
        <v/>
      </c>
      <c r="L220" s="43">
        <f>IF(J220="",NA(),IFERROR(INDEX(tblHistory[FinP],219),NA()))</f>
        <v/>
      </c>
      <c r="M220" s="43">
        <f>IF(J220="",NA(),IFERROR(INDEX(tblHistory[CreditP],219),NA()))</f>
        <v/>
      </c>
      <c r="N220" s="43">
        <f>IF(J220="",NA(),IFERROR(INDEX(tblHistory[Score],219),NA()))</f>
        <v/>
      </c>
    </row>
    <row r="221">
      <c r="J221" s="45">
        <f>IFERROR(IF(INDEX(tblHistory[Date],220)&gt;MAX(tblHistory[Date])-364,INDEX(tblHistory[Date],220),""),"")</f>
        <v/>
      </c>
      <c r="K221" s="43">
        <f>IF(J221="",NA(),IFERROR(INDEX(tblHistory[EquityP],220),NA()))</f>
        <v/>
      </c>
      <c r="L221" s="43">
        <f>IF(J221="",NA(),IFERROR(INDEX(tblHistory[FinP],220),NA()))</f>
        <v/>
      </c>
      <c r="M221" s="43">
        <f>IF(J221="",NA(),IFERROR(INDEX(tblHistory[CreditP],220),NA()))</f>
        <v/>
      </c>
      <c r="N221" s="43">
        <f>IF(J221="",NA(),IFERROR(INDEX(tblHistory[Score],220),NA()))</f>
        <v/>
      </c>
    </row>
    <row r="222">
      <c r="J222" s="45">
        <f>IFERROR(IF(INDEX(tblHistory[Date],221)&gt;MAX(tblHistory[Date])-364,INDEX(tblHistory[Date],221),""),"")</f>
        <v/>
      </c>
      <c r="K222" s="43">
        <f>IF(J222="",NA(),IFERROR(INDEX(tblHistory[EquityP],221),NA()))</f>
        <v/>
      </c>
      <c r="L222" s="43">
        <f>IF(J222="",NA(),IFERROR(INDEX(tblHistory[FinP],221),NA()))</f>
        <v/>
      </c>
      <c r="M222" s="43">
        <f>IF(J222="",NA(),IFERROR(INDEX(tblHistory[CreditP],221),NA()))</f>
        <v/>
      </c>
      <c r="N222" s="43">
        <f>IF(J222="",NA(),IFERROR(INDEX(tblHistory[Score],221),NA()))</f>
        <v/>
      </c>
    </row>
    <row r="223">
      <c r="J223" s="45">
        <f>IFERROR(IF(INDEX(tblHistory[Date],222)&gt;MAX(tblHistory[Date])-364,INDEX(tblHistory[Date],222),""),"")</f>
        <v/>
      </c>
      <c r="K223" s="43">
        <f>IF(J223="",NA(),IFERROR(INDEX(tblHistory[EquityP],222),NA()))</f>
        <v/>
      </c>
      <c r="L223" s="43">
        <f>IF(J223="",NA(),IFERROR(INDEX(tblHistory[FinP],222),NA()))</f>
        <v/>
      </c>
      <c r="M223" s="43">
        <f>IF(J223="",NA(),IFERROR(INDEX(tblHistory[CreditP],222),NA()))</f>
        <v/>
      </c>
      <c r="N223" s="43">
        <f>IF(J223="",NA(),IFERROR(INDEX(tblHistory[Score],222),NA()))</f>
        <v/>
      </c>
    </row>
    <row r="224">
      <c r="J224" s="45">
        <f>IFERROR(IF(INDEX(tblHistory[Date],223)&gt;MAX(tblHistory[Date])-364,INDEX(tblHistory[Date],223),""),"")</f>
        <v/>
      </c>
      <c r="K224" s="43">
        <f>IF(J224="",NA(),IFERROR(INDEX(tblHistory[EquityP],223),NA()))</f>
        <v/>
      </c>
      <c r="L224" s="43">
        <f>IF(J224="",NA(),IFERROR(INDEX(tblHistory[FinP],223),NA()))</f>
        <v/>
      </c>
      <c r="M224" s="43">
        <f>IF(J224="",NA(),IFERROR(INDEX(tblHistory[CreditP],223),NA()))</f>
        <v/>
      </c>
      <c r="N224" s="43">
        <f>IF(J224="",NA(),IFERROR(INDEX(tblHistory[Score],223),NA()))</f>
        <v/>
      </c>
    </row>
    <row r="225">
      <c r="J225" s="45">
        <f>IFERROR(IF(INDEX(tblHistory[Date],224)&gt;MAX(tblHistory[Date])-364,INDEX(tblHistory[Date],224),""),"")</f>
        <v/>
      </c>
      <c r="K225" s="43">
        <f>IF(J225="",NA(),IFERROR(INDEX(tblHistory[EquityP],224),NA()))</f>
        <v/>
      </c>
      <c r="L225" s="43">
        <f>IF(J225="",NA(),IFERROR(INDEX(tblHistory[FinP],224),NA()))</f>
        <v/>
      </c>
      <c r="M225" s="43">
        <f>IF(J225="",NA(),IFERROR(INDEX(tblHistory[CreditP],224),NA()))</f>
        <v/>
      </c>
      <c r="N225" s="43">
        <f>IF(J225="",NA(),IFERROR(INDEX(tblHistory[Score],224),NA()))</f>
        <v/>
      </c>
    </row>
    <row r="226">
      <c r="J226" s="45">
        <f>IFERROR(IF(INDEX(tblHistory[Date],225)&gt;MAX(tblHistory[Date])-364,INDEX(tblHistory[Date],225),""),"")</f>
        <v/>
      </c>
      <c r="K226" s="43">
        <f>IF(J226="",NA(),IFERROR(INDEX(tblHistory[EquityP],225),NA()))</f>
        <v/>
      </c>
      <c r="L226" s="43">
        <f>IF(J226="",NA(),IFERROR(INDEX(tblHistory[FinP],225),NA()))</f>
        <v/>
      </c>
      <c r="M226" s="43">
        <f>IF(J226="",NA(),IFERROR(INDEX(tblHistory[CreditP],225),NA()))</f>
        <v/>
      </c>
      <c r="N226" s="43">
        <f>IF(J226="",NA(),IFERROR(INDEX(tblHistory[Score],225),NA()))</f>
        <v/>
      </c>
    </row>
    <row r="227">
      <c r="J227" s="45">
        <f>IFERROR(IF(INDEX(tblHistory[Date],226)&gt;MAX(tblHistory[Date])-364,INDEX(tblHistory[Date],226),""),"")</f>
        <v/>
      </c>
      <c r="K227" s="43">
        <f>IF(J227="",NA(),IFERROR(INDEX(tblHistory[EquityP],226),NA()))</f>
        <v/>
      </c>
      <c r="L227" s="43">
        <f>IF(J227="",NA(),IFERROR(INDEX(tblHistory[FinP],226),NA()))</f>
        <v/>
      </c>
      <c r="M227" s="43">
        <f>IF(J227="",NA(),IFERROR(INDEX(tblHistory[CreditP],226),NA()))</f>
        <v/>
      </c>
      <c r="N227" s="43">
        <f>IF(J227="",NA(),IFERROR(INDEX(tblHistory[Score],226),NA()))</f>
        <v/>
      </c>
    </row>
    <row r="228">
      <c r="J228" s="45">
        <f>IFERROR(IF(INDEX(tblHistory[Date],227)&gt;MAX(tblHistory[Date])-364,INDEX(tblHistory[Date],227),""),"")</f>
        <v/>
      </c>
      <c r="K228" s="43">
        <f>IF(J228="",NA(),IFERROR(INDEX(tblHistory[EquityP],227),NA()))</f>
        <v/>
      </c>
      <c r="L228" s="43">
        <f>IF(J228="",NA(),IFERROR(INDEX(tblHistory[FinP],227),NA()))</f>
        <v/>
      </c>
      <c r="M228" s="43">
        <f>IF(J228="",NA(),IFERROR(INDEX(tblHistory[CreditP],227),NA()))</f>
        <v/>
      </c>
      <c r="N228" s="43">
        <f>IF(J228="",NA(),IFERROR(INDEX(tblHistory[Score],227),NA()))</f>
        <v/>
      </c>
    </row>
    <row r="229">
      <c r="J229" s="45">
        <f>IFERROR(IF(INDEX(tblHistory[Date],228)&gt;MAX(tblHistory[Date])-364,INDEX(tblHistory[Date],228),""),"")</f>
        <v/>
      </c>
      <c r="K229" s="43">
        <f>IF(J229="",NA(),IFERROR(INDEX(tblHistory[EquityP],228),NA()))</f>
        <v/>
      </c>
      <c r="L229" s="43">
        <f>IF(J229="",NA(),IFERROR(INDEX(tblHistory[FinP],228),NA()))</f>
        <v/>
      </c>
      <c r="M229" s="43">
        <f>IF(J229="",NA(),IFERROR(INDEX(tblHistory[CreditP],228),NA()))</f>
        <v/>
      </c>
      <c r="N229" s="43">
        <f>IF(J229="",NA(),IFERROR(INDEX(tblHistory[Score],228),NA()))</f>
        <v/>
      </c>
    </row>
    <row r="230">
      <c r="J230" s="45">
        <f>IFERROR(IF(INDEX(tblHistory[Date],229)&gt;MAX(tblHistory[Date])-364,INDEX(tblHistory[Date],229),""),"")</f>
        <v/>
      </c>
      <c r="K230" s="43">
        <f>IF(J230="",NA(),IFERROR(INDEX(tblHistory[EquityP],229),NA()))</f>
        <v/>
      </c>
      <c r="L230" s="43">
        <f>IF(J230="",NA(),IFERROR(INDEX(tblHistory[FinP],229),NA()))</f>
        <v/>
      </c>
      <c r="M230" s="43">
        <f>IF(J230="",NA(),IFERROR(INDEX(tblHistory[CreditP],229),NA()))</f>
        <v/>
      </c>
      <c r="N230" s="43">
        <f>IF(J230="",NA(),IFERROR(INDEX(tblHistory[Score],229),NA()))</f>
        <v/>
      </c>
    </row>
    <row r="231">
      <c r="J231" s="45">
        <f>IFERROR(IF(INDEX(tblHistory[Date],230)&gt;MAX(tblHistory[Date])-364,INDEX(tblHistory[Date],230),""),"")</f>
        <v/>
      </c>
      <c r="K231" s="43">
        <f>IF(J231="",NA(),IFERROR(INDEX(tblHistory[EquityP],230),NA()))</f>
        <v/>
      </c>
      <c r="L231" s="43">
        <f>IF(J231="",NA(),IFERROR(INDEX(tblHistory[FinP],230),NA()))</f>
        <v/>
      </c>
      <c r="M231" s="43">
        <f>IF(J231="",NA(),IFERROR(INDEX(tblHistory[CreditP],230),NA()))</f>
        <v/>
      </c>
      <c r="N231" s="43">
        <f>IF(J231="",NA(),IFERROR(INDEX(tblHistory[Score],230),NA()))</f>
        <v/>
      </c>
    </row>
    <row r="232">
      <c r="J232" s="45">
        <f>IFERROR(IF(INDEX(tblHistory[Date],231)&gt;MAX(tblHistory[Date])-364,INDEX(tblHistory[Date],231),""),"")</f>
        <v/>
      </c>
      <c r="K232" s="43">
        <f>IF(J232="",NA(),IFERROR(INDEX(tblHistory[EquityP],231),NA()))</f>
        <v/>
      </c>
      <c r="L232" s="43">
        <f>IF(J232="",NA(),IFERROR(INDEX(tblHistory[FinP],231),NA()))</f>
        <v/>
      </c>
      <c r="M232" s="43">
        <f>IF(J232="",NA(),IFERROR(INDEX(tblHistory[CreditP],231),NA()))</f>
        <v/>
      </c>
      <c r="N232" s="43">
        <f>IF(J232="",NA(),IFERROR(INDEX(tblHistory[Score],231),NA()))</f>
        <v/>
      </c>
    </row>
    <row r="233">
      <c r="J233" s="45">
        <f>IFERROR(IF(INDEX(tblHistory[Date],232)&gt;MAX(tblHistory[Date])-364,INDEX(tblHistory[Date],232),""),"")</f>
        <v/>
      </c>
      <c r="K233" s="43">
        <f>IF(J233="",NA(),IFERROR(INDEX(tblHistory[EquityP],232),NA()))</f>
        <v/>
      </c>
      <c r="L233" s="43">
        <f>IF(J233="",NA(),IFERROR(INDEX(tblHistory[FinP],232),NA()))</f>
        <v/>
      </c>
      <c r="M233" s="43">
        <f>IF(J233="",NA(),IFERROR(INDEX(tblHistory[CreditP],232),NA()))</f>
        <v/>
      </c>
      <c r="N233" s="43">
        <f>IF(J233="",NA(),IFERROR(INDEX(tblHistory[Score],232),NA()))</f>
        <v/>
      </c>
    </row>
    <row r="234">
      <c r="J234" s="45">
        <f>IFERROR(IF(INDEX(tblHistory[Date],233)&gt;MAX(tblHistory[Date])-364,INDEX(tblHistory[Date],233),""),"")</f>
        <v/>
      </c>
      <c r="K234" s="43">
        <f>IF(J234="",NA(),IFERROR(INDEX(tblHistory[EquityP],233),NA()))</f>
        <v/>
      </c>
      <c r="L234" s="43">
        <f>IF(J234="",NA(),IFERROR(INDEX(tblHistory[FinP],233),NA()))</f>
        <v/>
      </c>
      <c r="M234" s="43">
        <f>IF(J234="",NA(),IFERROR(INDEX(tblHistory[CreditP],233),NA()))</f>
        <v/>
      </c>
      <c r="N234" s="43">
        <f>IF(J234="",NA(),IFERROR(INDEX(tblHistory[Score],233),NA()))</f>
        <v/>
      </c>
    </row>
    <row r="235">
      <c r="J235" s="45">
        <f>IFERROR(IF(INDEX(tblHistory[Date],234)&gt;MAX(tblHistory[Date])-364,INDEX(tblHistory[Date],234),""),"")</f>
        <v/>
      </c>
      <c r="K235" s="43">
        <f>IF(J235="",NA(),IFERROR(INDEX(tblHistory[EquityP],234),NA()))</f>
        <v/>
      </c>
      <c r="L235" s="43">
        <f>IF(J235="",NA(),IFERROR(INDEX(tblHistory[FinP],234),NA()))</f>
        <v/>
      </c>
      <c r="M235" s="43">
        <f>IF(J235="",NA(),IFERROR(INDEX(tblHistory[CreditP],234),NA()))</f>
        <v/>
      </c>
      <c r="N235" s="43">
        <f>IF(J235="",NA(),IFERROR(INDEX(tblHistory[Score],234),NA()))</f>
        <v/>
      </c>
    </row>
    <row r="236">
      <c r="J236" s="45">
        <f>IFERROR(IF(INDEX(tblHistory[Date],235)&gt;MAX(tblHistory[Date])-364,INDEX(tblHistory[Date],235),""),"")</f>
        <v/>
      </c>
      <c r="K236" s="43">
        <f>IF(J236="",NA(),IFERROR(INDEX(tblHistory[EquityP],235),NA()))</f>
        <v/>
      </c>
      <c r="L236" s="43">
        <f>IF(J236="",NA(),IFERROR(INDEX(tblHistory[FinP],235),NA()))</f>
        <v/>
      </c>
      <c r="M236" s="43">
        <f>IF(J236="",NA(),IFERROR(INDEX(tblHistory[CreditP],235),NA()))</f>
        <v/>
      </c>
      <c r="N236" s="43">
        <f>IF(J236="",NA(),IFERROR(INDEX(tblHistory[Score],235),NA()))</f>
        <v/>
      </c>
    </row>
    <row r="237">
      <c r="J237" s="45">
        <f>IFERROR(IF(INDEX(tblHistory[Date],236)&gt;MAX(tblHistory[Date])-364,INDEX(tblHistory[Date],236),""),"")</f>
        <v/>
      </c>
      <c r="K237" s="43">
        <f>IF(J237="",NA(),IFERROR(INDEX(tblHistory[EquityP],236),NA()))</f>
        <v/>
      </c>
      <c r="L237" s="43">
        <f>IF(J237="",NA(),IFERROR(INDEX(tblHistory[FinP],236),NA()))</f>
        <v/>
      </c>
      <c r="M237" s="43">
        <f>IF(J237="",NA(),IFERROR(INDEX(tblHistory[CreditP],236),NA()))</f>
        <v/>
      </c>
      <c r="N237" s="43">
        <f>IF(J237="",NA(),IFERROR(INDEX(tblHistory[Score],236),NA()))</f>
        <v/>
      </c>
    </row>
    <row r="238">
      <c r="J238" s="45">
        <f>IFERROR(IF(INDEX(tblHistory[Date],237)&gt;MAX(tblHistory[Date])-364,INDEX(tblHistory[Date],237),""),"")</f>
        <v/>
      </c>
      <c r="K238" s="43">
        <f>IF(J238="",NA(),IFERROR(INDEX(tblHistory[EquityP],237),NA()))</f>
        <v/>
      </c>
      <c r="L238" s="43">
        <f>IF(J238="",NA(),IFERROR(INDEX(tblHistory[FinP],237),NA()))</f>
        <v/>
      </c>
      <c r="M238" s="43">
        <f>IF(J238="",NA(),IFERROR(INDEX(tblHistory[CreditP],237),NA()))</f>
        <v/>
      </c>
      <c r="N238" s="43">
        <f>IF(J238="",NA(),IFERROR(INDEX(tblHistory[Score],237),NA()))</f>
        <v/>
      </c>
    </row>
    <row r="239">
      <c r="J239" s="45">
        <f>IFERROR(IF(INDEX(tblHistory[Date],238)&gt;MAX(tblHistory[Date])-364,INDEX(tblHistory[Date],238),""),"")</f>
        <v/>
      </c>
      <c r="K239" s="43">
        <f>IF(J239="",NA(),IFERROR(INDEX(tblHistory[EquityP],238),NA()))</f>
        <v/>
      </c>
      <c r="L239" s="43">
        <f>IF(J239="",NA(),IFERROR(INDEX(tblHistory[FinP],238),NA()))</f>
        <v/>
      </c>
      <c r="M239" s="43">
        <f>IF(J239="",NA(),IFERROR(INDEX(tblHistory[CreditP],238),NA()))</f>
        <v/>
      </c>
      <c r="N239" s="43">
        <f>IF(J239="",NA(),IFERROR(INDEX(tblHistory[Score],238),NA()))</f>
        <v/>
      </c>
    </row>
    <row r="240">
      <c r="J240" s="45">
        <f>IFERROR(IF(INDEX(tblHistory[Date],239)&gt;MAX(tblHistory[Date])-364,INDEX(tblHistory[Date],239),""),"")</f>
        <v/>
      </c>
      <c r="K240" s="43">
        <f>IF(J240="",NA(),IFERROR(INDEX(tblHistory[EquityP],239),NA()))</f>
        <v/>
      </c>
      <c r="L240" s="43">
        <f>IF(J240="",NA(),IFERROR(INDEX(tblHistory[FinP],239),NA()))</f>
        <v/>
      </c>
      <c r="M240" s="43">
        <f>IF(J240="",NA(),IFERROR(INDEX(tblHistory[CreditP],239),NA()))</f>
        <v/>
      </c>
      <c r="N240" s="43">
        <f>IF(J240="",NA(),IFERROR(INDEX(tblHistory[Score],239),NA()))</f>
        <v/>
      </c>
    </row>
    <row r="241">
      <c r="J241" s="45">
        <f>IFERROR(IF(INDEX(tblHistory[Date],240)&gt;MAX(tblHistory[Date])-364,INDEX(tblHistory[Date],240),""),"")</f>
        <v/>
      </c>
      <c r="K241" s="43">
        <f>IF(J241="",NA(),IFERROR(INDEX(tblHistory[EquityP],240),NA()))</f>
        <v/>
      </c>
      <c r="L241" s="43">
        <f>IF(J241="",NA(),IFERROR(INDEX(tblHistory[FinP],240),NA()))</f>
        <v/>
      </c>
      <c r="M241" s="43">
        <f>IF(J241="",NA(),IFERROR(INDEX(tblHistory[CreditP],240),NA()))</f>
        <v/>
      </c>
      <c r="N241" s="43">
        <f>IF(J241="",NA(),IFERROR(INDEX(tblHistory[Score],240),NA()))</f>
        <v/>
      </c>
    </row>
    <row r="242">
      <c r="J242" s="45">
        <f>IFERROR(IF(INDEX(tblHistory[Date],241)&gt;MAX(tblHistory[Date])-364,INDEX(tblHistory[Date],241),""),"")</f>
        <v/>
      </c>
      <c r="K242" s="43">
        <f>IF(J242="",NA(),IFERROR(INDEX(tblHistory[EquityP],241),NA()))</f>
        <v/>
      </c>
      <c r="L242" s="43">
        <f>IF(J242="",NA(),IFERROR(INDEX(tblHistory[FinP],241),NA()))</f>
        <v/>
      </c>
      <c r="M242" s="43">
        <f>IF(J242="",NA(),IFERROR(INDEX(tblHistory[CreditP],241),NA()))</f>
        <v/>
      </c>
      <c r="N242" s="43">
        <f>IF(J242="",NA(),IFERROR(INDEX(tblHistory[Score],241),NA()))</f>
        <v/>
      </c>
    </row>
    <row r="243">
      <c r="J243" s="45">
        <f>IFERROR(IF(INDEX(tblHistory[Date],242)&gt;MAX(tblHistory[Date])-364,INDEX(tblHistory[Date],242),""),"")</f>
        <v/>
      </c>
      <c r="K243" s="43">
        <f>IF(J243="",NA(),IFERROR(INDEX(tblHistory[EquityP],242),NA()))</f>
        <v/>
      </c>
      <c r="L243" s="43">
        <f>IF(J243="",NA(),IFERROR(INDEX(tblHistory[FinP],242),NA()))</f>
        <v/>
      </c>
      <c r="M243" s="43">
        <f>IF(J243="",NA(),IFERROR(INDEX(tblHistory[CreditP],242),NA()))</f>
        <v/>
      </c>
      <c r="N243" s="43">
        <f>IF(J243="",NA(),IFERROR(INDEX(tblHistory[Score],242),NA()))</f>
        <v/>
      </c>
    </row>
    <row r="244">
      <c r="J244" s="45">
        <f>IFERROR(IF(INDEX(tblHistory[Date],243)&gt;MAX(tblHistory[Date])-364,INDEX(tblHistory[Date],243),""),"")</f>
        <v/>
      </c>
      <c r="K244" s="43">
        <f>IF(J244="",NA(),IFERROR(INDEX(tblHistory[EquityP],243),NA()))</f>
        <v/>
      </c>
      <c r="L244" s="43">
        <f>IF(J244="",NA(),IFERROR(INDEX(tblHistory[FinP],243),NA()))</f>
        <v/>
      </c>
      <c r="M244" s="43">
        <f>IF(J244="",NA(),IFERROR(INDEX(tblHistory[CreditP],243),NA()))</f>
        <v/>
      </c>
      <c r="N244" s="43">
        <f>IF(J244="",NA(),IFERROR(INDEX(tblHistory[Score],243),NA()))</f>
        <v/>
      </c>
    </row>
    <row r="245">
      <c r="J245" s="45">
        <f>IFERROR(IF(INDEX(tblHistory[Date],244)&gt;MAX(tblHistory[Date])-364,INDEX(tblHistory[Date],244),""),"")</f>
        <v/>
      </c>
      <c r="K245" s="43">
        <f>IF(J245="",NA(),IFERROR(INDEX(tblHistory[EquityP],244),NA()))</f>
        <v/>
      </c>
      <c r="L245" s="43">
        <f>IF(J245="",NA(),IFERROR(INDEX(tblHistory[FinP],244),NA()))</f>
        <v/>
      </c>
      <c r="M245" s="43">
        <f>IF(J245="",NA(),IFERROR(INDEX(tblHistory[CreditP],244),NA()))</f>
        <v/>
      </c>
      <c r="N245" s="43">
        <f>IF(J245="",NA(),IFERROR(INDEX(tblHistory[Score],244),NA()))</f>
        <v/>
      </c>
    </row>
    <row r="246">
      <c r="J246" s="45">
        <f>IFERROR(IF(INDEX(tblHistory[Date],245)&gt;MAX(tblHistory[Date])-364,INDEX(tblHistory[Date],245),""),"")</f>
        <v/>
      </c>
      <c r="K246" s="43">
        <f>IF(J246="",NA(),IFERROR(INDEX(tblHistory[EquityP],245),NA()))</f>
        <v/>
      </c>
      <c r="L246" s="43">
        <f>IF(J246="",NA(),IFERROR(INDEX(tblHistory[FinP],245),NA()))</f>
        <v/>
      </c>
      <c r="M246" s="43">
        <f>IF(J246="",NA(),IFERROR(INDEX(tblHistory[CreditP],245),NA()))</f>
        <v/>
      </c>
      <c r="N246" s="43">
        <f>IF(J246="",NA(),IFERROR(INDEX(tblHistory[Score],245),NA()))</f>
        <v/>
      </c>
    </row>
    <row r="247">
      <c r="J247" s="45">
        <f>IFERROR(IF(INDEX(tblHistory[Date],246)&gt;MAX(tblHistory[Date])-364,INDEX(tblHistory[Date],246),""),"")</f>
        <v/>
      </c>
      <c r="K247" s="43">
        <f>IF(J247="",NA(),IFERROR(INDEX(tblHistory[EquityP],246),NA()))</f>
        <v/>
      </c>
      <c r="L247" s="43">
        <f>IF(J247="",NA(),IFERROR(INDEX(tblHistory[FinP],246),NA()))</f>
        <v/>
      </c>
      <c r="M247" s="43">
        <f>IF(J247="",NA(),IFERROR(INDEX(tblHistory[CreditP],246),NA()))</f>
        <v/>
      </c>
      <c r="N247" s="43">
        <f>IF(J247="",NA(),IFERROR(INDEX(tblHistory[Score],246),NA()))</f>
        <v/>
      </c>
    </row>
    <row r="248">
      <c r="J248" s="45">
        <f>IFERROR(IF(INDEX(tblHistory[Date],247)&gt;MAX(tblHistory[Date])-364,INDEX(tblHistory[Date],247),""),"")</f>
        <v/>
      </c>
      <c r="K248" s="43">
        <f>IF(J248="",NA(),IFERROR(INDEX(tblHistory[EquityP],247),NA()))</f>
        <v/>
      </c>
      <c r="L248" s="43">
        <f>IF(J248="",NA(),IFERROR(INDEX(tblHistory[FinP],247),NA()))</f>
        <v/>
      </c>
      <c r="M248" s="43">
        <f>IF(J248="",NA(),IFERROR(INDEX(tblHistory[CreditP],247),NA()))</f>
        <v/>
      </c>
      <c r="N248" s="43">
        <f>IF(J248="",NA(),IFERROR(INDEX(tblHistory[Score],247),NA()))</f>
        <v/>
      </c>
    </row>
    <row r="249">
      <c r="J249" s="45">
        <f>IFERROR(IF(INDEX(tblHistory[Date],248)&gt;MAX(tblHistory[Date])-364,INDEX(tblHistory[Date],248),""),"")</f>
        <v/>
      </c>
      <c r="K249" s="43">
        <f>IF(J249="",NA(),IFERROR(INDEX(tblHistory[EquityP],248),NA()))</f>
        <v/>
      </c>
      <c r="L249" s="43">
        <f>IF(J249="",NA(),IFERROR(INDEX(tblHistory[FinP],248),NA()))</f>
        <v/>
      </c>
      <c r="M249" s="43">
        <f>IF(J249="",NA(),IFERROR(INDEX(tblHistory[CreditP],248),NA()))</f>
        <v/>
      </c>
      <c r="N249" s="43">
        <f>IF(J249="",NA(),IFERROR(INDEX(tblHistory[Score],248),NA()))</f>
        <v/>
      </c>
    </row>
    <row r="250">
      <c r="J250" s="45">
        <f>IFERROR(IF(INDEX(tblHistory[Date],249)&gt;MAX(tblHistory[Date])-364,INDEX(tblHistory[Date],249),""),"")</f>
        <v/>
      </c>
      <c r="K250" s="43">
        <f>IF(J250="",NA(),IFERROR(INDEX(tblHistory[EquityP],249),NA()))</f>
        <v/>
      </c>
      <c r="L250" s="43">
        <f>IF(J250="",NA(),IFERROR(INDEX(tblHistory[FinP],249),NA()))</f>
        <v/>
      </c>
      <c r="M250" s="43">
        <f>IF(J250="",NA(),IFERROR(INDEX(tblHistory[CreditP],249),NA()))</f>
        <v/>
      </c>
      <c r="N250" s="43">
        <f>IF(J250="",NA(),IFERROR(INDEX(tblHistory[Score],249),NA()))</f>
        <v/>
      </c>
    </row>
    <row r="251">
      <c r="J251" s="45">
        <f>IFERROR(IF(INDEX(tblHistory[Date],250)&gt;MAX(tblHistory[Date])-364,INDEX(tblHistory[Date],250),""),"")</f>
        <v/>
      </c>
      <c r="K251" s="43">
        <f>IF(J251="",NA(),IFERROR(INDEX(tblHistory[EquityP],250),NA()))</f>
        <v/>
      </c>
      <c r="L251" s="43">
        <f>IF(J251="",NA(),IFERROR(INDEX(tblHistory[FinP],250),NA()))</f>
        <v/>
      </c>
      <c r="M251" s="43">
        <f>IF(J251="",NA(),IFERROR(INDEX(tblHistory[CreditP],250),NA()))</f>
        <v/>
      </c>
      <c r="N251" s="43">
        <f>IF(J251="",NA(),IFERROR(INDEX(tblHistory[Score],250),NA()))</f>
        <v/>
      </c>
    </row>
    <row r="252">
      <c r="J252" s="45">
        <f>IFERROR(IF(INDEX(tblHistory[Date],251)&gt;MAX(tblHistory[Date])-364,INDEX(tblHistory[Date],251),""),"")</f>
        <v/>
      </c>
      <c r="K252" s="43">
        <f>IF(J252="",NA(),IFERROR(INDEX(tblHistory[EquityP],251),NA()))</f>
        <v/>
      </c>
      <c r="L252" s="43">
        <f>IF(J252="",NA(),IFERROR(INDEX(tblHistory[FinP],251),NA()))</f>
        <v/>
      </c>
      <c r="M252" s="43">
        <f>IF(J252="",NA(),IFERROR(INDEX(tblHistory[CreditP],251),NA()))</f>
        <v/>
      </c>
      <c r="N252" s="43">
        <f>IF(J252="",NA(),IFERROR(INDEX(tblHistory[Score],251),NA()))</f>
        <v/>
      </c>
    </row>
    <row r="253">
      <c r="J253" s="45">
        <f>IFERROR(IF(INDEX(tblHistory[Date],252)&gt;MAX(tblHistory[Date])-364,INDEX(tblHistory[Date],252),""),"")</f>
        <v/>
      </c>
      <c r="K253" s="43">
        <f>IF(J253="",NA(),IFERROR(INDEX(tblHistory[EquityP],252),NA()))</f>
        <v/>
      </c>
      <c r="L253" s="43">
        <f>IF(J253="",NA(),IFERROR(INDEX(tblHistory[FinP],252),NA()))</f>
        <v/>
      </c>
      <c r="M253" s="43">
        <f>IF(J253="",NA(),IFERROR(INDEX(tblHistory[CreditP],252),NA()))</f>
        <v/>
      </c>
      <c r="N253" s="43">
        <f>IF(J253="",NA(),IFERROR(INDEX(tblHistory[Score],252),NA()))</f>
        <v/>
      </c>
    </row>
    <row r="254">
      <c r="J254" s="45">
        <f>IFERROR(IF(INDEX(tblHistory[Date],253)&gt;MAX(tblHistory[Date])-364,INDEX(tblHistory[Date],253),""),"")</f>
        <v/>
      </c>
      <c r="K254" s="43">
        <f>IF(J254="",NA(),IFERROR(INDEX(tblHistory[EquityP],253),NA()))</f>
        <v/>
      </c>
      <c r="L254" s="43">
        <f>IF(J254="",NA(),IFERROR(INDEX(tblHistory[FinP],253),NA()))</f>
        <v/>
      </c>
      <c r="M254" s="43">
        <f>IF(J254="",NA(),IFERROR(INDEX(tblHistory[CreditP],253),NA()))</f>
        <v/>
      </c>
      <c r="N254" s="43">
        <f>IF(J254="",NA(),IFERROR(INDEX(tblHistory[Score],253),NA()))</f>
        <v/>
      </c>
    </row>
    <row r="255">
      <c r="J255" s="45">
        <f>IFERROR(IF(INDEX(tblHistory[Date],254)&gt;MAX(tblHistory[Date])-364,INDEX(tblHistory[Date],254),""),"")</f>
        <v/>
      </c>
      <c r="K255" s="43">
        <f>IF(J255="",NA(),IFERROR(INDEX(tblHistory[EquityP],254),NA()))</f>
        <v/>
      </c>
      <c r="L255" s="43">
        <f>IF(J255="",NA(),IFERROR(INDEX(tblHistory[FinP],254),NA()))</f>
        <v/>
      </c>
      <c r="M255" s="43">
        <f>IF(J255="",NA(),IFERROR(INDEX(tblHistory[CreditP],254),NA()))</f>
        <v/>
      </c>
      <c r="N255" s="43">
        <f>IF(J255="",NA(),IFERROR(INDEX(tblHistory[Score],254),NA()))</f>
        <v/>
      </c>
    </row>
    <row r="256">
      <c r="J256" s="45">
        <f>IFERROR(IF(INDEX(tblHistory[Date],255)&gt;MAX(tblHistory[Date])-364,INDEX(tblHistory[Date],255),""),"")</f>
        <v/>
      </c>
      <c r="K256" s="43">
        <f>IF(J256="",NA(),IFERROR(INDEX(tblHistory[EquityP],255),NA()))</f>
        <v/>
      </c>
      <c r="L256" s="43">
        <f>IF(J256="",NA(),IFERROR(INDEX(tblHistory[FinP],255),NA()))</f>
        <v/>
      </c>
      <c r="M256" s="43">
        <f>IF(J256="",NA(),IFERROR(INDEX(tblHistory[CreditP],255),NA()))</f>
        <v/>
      </c>
      <c r="N256" s="43">
        <f>IF(J256="",NA(),IFERROR(INDEX(tblHistory[Score],255),NA()))</f>
        <v/>
      </c>
    </row>
    <row r="257">
      <c r="J257" s="45">
        <f>IFERROR(IF(INDEX(tblHistory[Date],256)&gt;MAX(tblHistory[Date])-364,INDEX(tblHistory[Date],256),""),"")</f>
        <v/>
      </c>
      <c r="K257" s="43">
        <f>IF(J257="",NA(),IFERROR(INDEX(tblHistory[EquityP],256),NA()))</f>
        <v/>
      </c>
      <c r="L257" s="43">
        <f>IF(J257="",NA(),IFERROR(INDEX(tblHistory[FinP],256),NA()))</f>
        <v/>
      </c>
      <c r="M257" s="43">
        <f>IF(J257="",NA(),IFERROR(INDEX(tblHistory[CreditP],256),NA()))</f>
        <v/>
      </c>
      <c r="N257" s="43">
        <f>IF(J257="",NA(),IFERROR(INDEX(tblHistory[Score],256),NA()))</f>
        <v/>
      </c>
    </row>
    <row r="258">
      <c r="J258" s="45">
        <f>IFERROR(IF(INDEX(tblHistory[Date],257)&gt;MAX(tblHistory[Date])-364,INDEX(tblHistory[Date],257),""),"")</f>
        <v/>
      </c>
      <c r="K258" s="43">
        <f>IF(J258="",NA(),IFERROR(INDEX(tblHistory[EquityP],257),NA()))</f>
        <v/>
      </c>
      <c r="L258" s="43">
        <f>IF(J258="",NA(),IFERROR(INDEX(tblHistory[FinP],257),NA()))</f>
        <v/>
      </c>
      <c r="M258" s="43">
        <f>IF(J258="",NA(),IFERROR(INDEX(tblHistory[CreditP],257),NA()))</f>
        <v/>
      </c>
      <c r="N258" s="43">
        <f>IF(J258="",NA(),IFERROR(INDEX(tblHistory[Score],257),NA()))</f>
        <v/>
      </c>
    </row>
    <row r="259">
      <c r="J259" s="45">
        <f>IFERROR(IF(INDEX(tblHistory[Date],258)&gt;MAX(tblHistory[Date])-364,INDEX(tblHistory[Date],258),""),"")</f>
        <v/>
      </c>
      <c r="K259" s="43">
        <f>IF(J259="",NA(),IFERROR(INDEX(tblHistory[EquityP],258),NA()))</f>
        <v/>
      </c>
      <c r="L259" s="43">
        <f>IF(J259="",NA(),IFERROR(INDEX(tblHistory[FinP],258),NA()))</f>
        <v/>
      </c>
      <c r="M259" s="43">
        <f>IF(J259="",NA(),IFERROR(INDEX(tblHistory[CreditP],258),NA()))</f>
        <v/>
      </c>
      <c r="N259" s="43">
        <f>IF(J259="",NA(),IFERROR(INDEX(tblHistory[Score],258),NA()))</f>
        <v/>
      </c>
    </row>
    <row r="260">
      <c r="J260" s="45">
        <f>IFERROR(IF(INDEX(tblHistory[Date],259)&gt;MAX(tblHistory[Date])-364,INDEX(tblHistory[Date],259),""),"")</f>
        <v/>
      </c>
      <c r="K260" s="43">
        <f>IF(J260="",NA(),IFERROR(INDEX(tblHistory[EquityP],259),NA()))</f>
        <v/>
      </c>
      <c r="L260" s="43">
        <f>IF(J260="",NA(),IFERROR(INDEX(tblHistory[FinP],259),NA()))</f>
        <v/>
      </c>
      <c r="M260" s="43">
        <f>IF(J260="",NA(),IFERROR(INDEX(tblHistory[CreditP],259),NA()))</f>
        <v/>
      </c>
      <c r="N260" s="43">
        <f>IF(J260="",NA(),IFERROR(INDEX(tblHistory[Score],259),NA()))</f>
        <v/>
      </c>
    </row>
    <row r="261">
      <c r="J261" s="45">
        <f>IFERROR(IF(INDEX(tblHistory[Date],260)&gt;MAX(tblHistory[Date])-364,INDEX(tblHistory[Date],260),""),"")</f>
        <v/>
      </c>
      <c r="K261" s="43">
        <f>IF(J261="",NA(),IFERROR(INDEX(tblHistory[EquityP],260),NA()))</f>
        <v/>
      </c>
      <c r="L261" s="43">
        <f>IF(J261="",NA(),IFERROR(INDEX(tblHistory[FinP],260),NA()))</f>
        <v/>
      </c>
      <c r="M261" s="43">
        <f>IF(J261="",NA(),IFERROR(INDEX(tblHistory[CreditP],260),NA()))</f>
        <v/>
      </c>
      <c r="N261" s="43">
        <f>IF(J261="",NA(),IFERROR(INDEX(tblHistory[Score],260),NA()))</f>
        <v/>
      </c>
    </row>
    <row r="262">
      <c r="J262" s="45">
        <f>IFERROR(IF(INDEX(tblHistory[Date],261)&gt;MAX(tblHistory[Date])-364,INDEX(tblHistory[Date],261),""),"")</f>
        <v/>
      </c>
      <c r="K262" s="43">
        <f>IF(J262="",NA(),IFERROR(INDEX(tblHistory[EquityP],261),NA()))</f>
        <v/>
      </c>
      <c r="L262" s="43">
        <f>IF(J262="",NA(),IFERROR(INDEX(tblHistory[FinP],261),NA()))</f>
        <v/>
      </c>
      <c r="M262" s="43">
        <f>IF(J262="",NA(),IFERROR(INDEX(tblHistory[CreditP],261),NA()))</f>
        <v/>
      </c>
      <c r="N262" s="43">
        <f>IF(J262="",NA(),IFERROR(INDEX(tblHistory[Score],261),NA()))</f>
        <v/>
      </c>
    </row>
    <row r="263">
      <c r="J263" s="45">
        <f>IFERROR(IF(INDEX(tblHistory[Date],262)&gt;MAX(tblHistory[Date])-364,INDEX(tblHistory[Date],262),""),"")</f>
        <v/>
      </c>
      <c r="K263" s="43">
        <f>IF(J263="",NA(),IFERROR(INDEX(tblHistory[EquityP],262),NA()))</f>
        <v/>
      </c>
      <c r="L263" s="43">
        <f>IF(J263="",NA(),IFERROR(INDEX(tblHistory[FinP],262),NA()))</f>
        <v/>
      </c>
      <c r="M263" s="43">
        <f>IF(J263="",NA(),IFERROR(INDEX(tblHistory[CreditP],262),NA()))</f>
        <v/>
      </c>
      <c r="N263" s="43">
        <f>IF(J263="",NA(),IFERROR(INDEX(tblHistory[Score],262),NA()))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0" formatRows="0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2026-10-16T00:09:18Z</dcterms:created>
  <dcterms:modified xmlns:dcterms="http://purl.org/dc/terms/" xmlns:xsi="http://www.w3.org/2001/XMLSchema-instance" xsi:type="dcterms:W3CDTF">2026-10-16T00:09:18Z</dcterms:modified>
</cp:coreProperties>
</file>